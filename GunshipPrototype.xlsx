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Gary Yang\Documents\Programing\Unity\GunShip\"/>
    </mc:Choice>
  </mc:AlternateContent>
  <xr:revisionPtr revIDLastSave="0" documentId="13_ncr:1_{FE1E3F23-7D34-43ED-89E5-CAD9FC5E77A0}" xr6:coauthVersionLast="47" xr6:coauthVersionMax="47" xr10:uidLastSave="{00000000-0000-0000-0000-000000000000}"/>
  <bookViews>
    <workbookView xWindow="-96" yWindow="-96" windowWidth="23232" windowHeight="13872" xr2:uid="{00000000-000D-0000-FFFF-FFFF00000000}"/>
  </bookViews>
  <sheets>
    <sheet name="Requirements" sheetId="22" r:id="rId1"/>
    <sheet name="Post-Mortem" sheetId="18" r:id="rId2"/>
    <sheet name="Telemetry Data" sheetId="19" r:id="rId3"/>
    <sheet name="Code 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22" l="1"/>
  <c r="A23" i="22"/>
  <c r="A19" i="22"/>
  <c r="A2" i="18"/>
  <c r="A36" i="22"/>
  <c r="A34" i="22"/>
  <c r="A33" i="22"/>
  <c r="A32" i="22"/>
  <c r="A31" i="22"/>
  <c r="A28" i="22"/>
  <c r="A27" i="22"/>
  <c r="A26" i="22"/>
  <c r="A24" i="22"/>
  <c r="A22" i="22"/>
  <c r="A21" i="22"/>
  <c r="A18" i="22"/>
  <c r="A17" i="22"/>
  <c r="A16" i="22"/>
  <c r="A14" i="22"/>
  <c r="A13" i="22"/>
  <c r="A12" i="22"/>
  <c r="A11" i="22"/>
  <c r="A9" i="22"/>
  <c r="A8" i="22"/>
  <c r="A7" i="22"/>
  <c r="A6" i="22"/>
  <c r="D1" i="22" l="1"/>
  <c r="A1" i="22" s="1"/>
</calcChain>
</file>

<file path=xl/sharedStrings.xml><?xml version="1.0" encoding="utf-8"?>
<sst xmlns="http://schemas.openxmlformats.org/spreadsheetml/2006/main" count="52" uniqueCount="42">
  <si>
    <t>POST-MORTEM (200+ Words)</t>
  </si>
  <si>
    <t>Lecture
Score</t>
  </si>
  <si>
    <t>ACTIONLIST, ACTIONS, GAME LOGIC, and MENU CODE</t>
  </si>
  <si>
    <t>TELEMETRY DATA</t>
  </si>
  <si>
    <t>Grade</t>
  </si>
  <si>
    <t>Lecture score below
70% reduces the
project grade.</t>
  </si>
  <si>
    <t>Each requirement below receives a score of “No Credit” (completely or half missing, -10%), “Partial Credit” (more than half completed, +1%), “Full Credit” (fully completed, +3%), or "Extra Credit" (high quality or interesting, +5%).</t>
  </si>
  <si>
    <r>
      <t>Check-In 1F: Project Submission</t>
    </r>
    <r>
      <rPr>
        <sz val="14"/>
        <color theme="0"/>
        <rFont val="Calibri"/>
        <family val="2"/>
        <scheme val="minor"/>
      </rPr>
      <t xml:space="preserve"> (target is 70%+ project grade)</t>
    </r>
    <r>
      <rPr>
        <b/>
        <sz val="14"/>
        <color theme="0"/>
        <rFont val="Calibri"/>
        <family val="2"/>
        <scheme val="minor"/>
      </rPr>
      <t xml:space="preserve">
</t>
    </r>
    <r>
      <rPr>
        <i/>
        <sz val="14"/>
        <color theme="0"/>
        <rFont val="Calibri"/>
        <family val="2"/>
        <scheme val="minor"/>
      </rPr>
      <t>+5% for "First Hour", +3% for "Second Hour", +1% for "Target Missed", -10% for "Not Checked")</t>
    </r>
  </si>
  <si>
    <r>
      <t xml:space="preserve">· </t>
    </r>
    <r>
      <rPr>
        <b/>
        <sz val="12"/>
        <color theme="1"/>
        <rFont val="Calibri"/>
        <family val="2"/>
        <scheme val="minor"/>
      </rPr>
      <t>Post-Mortem:</t>
    </r>
    <r>
      <rPr>
        <sz val="12"/>
        <color theme="1"/>
        <rFont val="Calibri"/>
        <family val="2"/>
        <scheme val="minor"/>
      </rPr>
      <t xml:space="preserve"> 200+ words (in the post-mortem tab) that reflects on how the project went, what you learned, what you could improve, etc. </t>
    </r>
    <r>
      <rPr>
        <b/>
        <i/>
        <sz val="12"/>
        <color theme="1"/>
        <rFont val="Calibri"/>
        <family val="2"/>
        <scheme val="minor"/>
      </rPr>
      <t>Extra credit</t>
    </r>
    <r>
      <rPr>
        <sz val="12"/>
        <color theme="1"/>
        <rFont val="Calibri"/>
        <family val="2"/>
        <scheme val="minor"/>
      </rPr>
      <t xml:space="preserve"> for a lengthy, detailed, and insightful post-mortem.</t>
    </r>
  </si>
  <si>
    <r>
      <rPr>
        <sz val="12"/>
        <color theme="1"/>
        <rFont val="Symbol"/>
        <family val="1"/>
        <charset val="2"/>
      </rPr>
      <t>·</t>
    </r>
    <r>
      <rPr>
        <sz val="12"/>
        <color theme="1"/>
        <rFont val="Calibri"/>
        <family val="2"/>
        <scheme val="minor"/>
      </rPr>
      <t xml:space="preserve"> </t>
    </r>
    <r>
      <rPr>
        <b/>
        <sz val="12"/>
        <color theme="1"/>
        <rFont val="Calibri"/>
        <family val="2"/>
        <scheme val="minor"/>
      </rPr>
      <t>1 Unzipped Excel File, 1 Zipped Project File, 1 Zipped Archive File</t>
    </r>
    <r>
      <rPr>
        <sz val="12"/>
        <color theme="1"/>
        <rFont val="Calibri"/>
        <family val="2"/>
        <scheme val="minor"/>
      </rPr>
      <t>: This spreadsheet; project file to be unzipped and run (300 MB or less); archive file with source code and assets. DO NOT combine these 3 files into a single zipped file.</t>
    </r>
  </si>
  <si>
    <r>
      <t>Additional Bonuses</t>
    </r>
    <r>
      <rPr>
        <sz val="14"/>
        <color theme="0"/>
        <rFont val="Calibri"/>
        <family val="2"/>
        <scheme val="minor"/>
      </rPr>
      <t xml:space="preserve"> (list anything that might warrant additional bonuses below)</t>
    </r>
    <r>
      <rPr>
        <b/>
        <sz val="14"/>
        <color theme="0"/>
        <rFont val="Calibri"/>
        <family val="2"/>
        <scheme val="minor"/>
      </rPr>
      <t xml:space="preserve">
</t>
    </r>
    <r>
      <rPr>
        <i/>
        <sz val="14"/>
        <color theme="0"/>
        <rFont val="Calibri"/>
        <family val="2"/>
        <scheme val="minor"/>
      </rPr>
      <t>+5% for "Lots of Things", +3% for a "Big Thing", +1% for a "Small Thing")</t>
    </r>
  </si>
  <si>
    <t>Include performance data that includes the mean, median, and worst frame rate every 10-30 seconds.</t>
  </si>
  <si>
    <t>2D physics-based gunship prototype, fighting a multi-entity boss. It is NOT a full game, it is just a prototype. Any engine can be used (Unity, Godot, Unreal, custom, etc.) and there is no framework.</t>
  </si>
  <si>
    <r>
      <t xml:space="preserve">· </t>
    </r>
    <r>
      <rPr>
        <b/>
        <sz val="12"/>
        <color theme="1"/>
        <rFont val="Calibri"/>
        <family val="2"/>
        <scheme val="minor"/>
      </rPr>
      <t>Restrictions and Code Report:</t>
    </r>
    <r>
      <rPr>
        <sz val="12"/>
        <color theme="1"/>
        <rFont val="Calibri"/>
        <family val="2"/>
        <scheme val="minor"/>
      </rPr>
      <t xml:space="preserve"> No major technical/UX issues, real-time 2D physics-based movement, boss fight works decently, complete code report. </t>
    </r>
    <r>
      <rPr>
        <b/>
        <i/>
        <sz val="12"/>
        <color theme="1"/>
        <rFont val="Calibri"/>
        <family val="2"/>
        <scheme val="minor"/>
      </rPr>
      <t>Extra credit</t>
    </r>
    <r>
      <rPr>
        <sz val="12"/>
        <color theme="1"/>
        <rFont val="Calibri"/>
        <family val="2"/>
        <scheme val="minor"/>
      </rPr>
      <t xml:space="preserve"> for well organized, commented, and formatted code report.</t>
    </r>
  </si>
  <si>
    <r>
      <t xml:space="preserve">· </t>
    </r>
    <r>
      <rPr>
        <b/>
        <sz val="12"/>
        <color theme="1"/>
        <rFont val="Calibri"/>
        <family val="2"/>
        <scheme val="minor"/>
      </rPr>
      <t>Automation:</t>
    </r>
    <r>
      <rPr>
        <sz val="12"/>
        <color theme="1"/>
        <rFont val="Calibri"/>
        <family val="2"/>
        <scheme val="minor"/>
      </rPr>
      <t xml:space="preserve"> "T" toggles an AI taking control of the ship. It must move around and make attack runs against the boss in a reasonable way. </t>
    </r>
    <r>
      <rPr>
        <b/>
        <i/>
        <sz val="12"/>
        <color theme="1"/>
        <rFont val="Calibri"/>
        <family val="2"/>
        <scheme val="minor"/>
      </rPr>
      <t>Extra credit</t>
    </r>
    <r>
      <rPr>
        <sz val="12"/>
        <color theme="1"/>
        <rFont val="Calibri"/>
        <family val="2"/>
        <scheme val="minor"/>
      </rPr>
      <t xml:space="preserve"> if the AI is sophisticated and/or has multiple modes that test different strategies.</t>
    </r>
  </si>
  <si>
    <r>
      <t xml:space="preserve">· </t>
    </r>
    <r>
      <rPr>
        <b/>
        <sz val="12"/>
        <color theme="1"/>
        <rFont val="Calibri"/>
        <family val="2"/>
        <scheme val="minor"/>
      </rPr>
      <t xml:space="preserve">Telemetry Data: </t>
    </r>
    <r>
      <rPr>
        <sz val="12"/>
        <color theme="1"/>
        <rFont val="Calibri"/>
        <family val="2"/>
        <scheme val="minor"/>
      </rPr>
      <t xml:space="preserve">Game data is collected and written out, then copied to the telemetry data tab and formatted well (see tab for details). </t>
    </r>
    <r>
      <rPr>
        <b/>
        <i/>
        <sz val="12"/>
        <color theme="1"/>
        <rFont val="Calibri"/>
        <family val="2"/>
        <scheme val="minor"/>
      </rPr>
      <t>Extra credit</t>
    </r>
    <r>
      <rPr>
        <sz val="12"/>
        <color theme="1"/>
        <rFont val="Calibri"/>
        <family val="2"/>
        <scheme val="minor"/>
      </rPr>
      <t xml:space="preserve"> for extensive data beyond the requirements or multiple very long stress tests.</t>
    </r>
  </si>
  <si>
    <r>
      <t xml:space="preserve">· </t>
    </r>
    <r>
      <rPr>
        <b/>
        <sz val="12"/>
        <color theme="1"/>
        <rFont val="Calibri"/>
        <family val="2"/>
        <scheme val="minor"/>
      </rPr>
      <t xml:space="preserve">Performance Data: </t>
    </r>
    <r>
      <rPr>
        <sz val="12"/>
        <color theme="1"/>
        <rFont val="Calibri"/>
        <family val="2"/>
        <scheme val="minor"/>
      </rPr>
      <t xml:space="preserve">Performance data is displayed in a reasonable way (mean, median, and worst frame rate in the last 10-30 seconds) and is added to any telemetry data. </t>
    </r>
    <r>
      <rPr>
        <b/>
        <i/>
        <sz val="12"/>
        <color theme="1"/>
        <rFont val="Calibri"/>
        <family val="2"/>
        <scheme val="minor"/>
      </rPr>
      <t>Extra credit</t>
    </r>
    <r>
      <rPr>
        <sz val="12"/>
        <color theme="1"/>
        <rFont val="Calibri"/>
        <family val="2"/>
        <scheme val="minor"/>
      </rPr>
      <t xml:space="preserve"> for a real-time graphical display of data.</t>
    </r>
  </si>
  <si>
    <r>
      <t xml:space="preserve">· </t>
    </r>
    <r>
      <rPr>
        <b/>
        <sz val="12"/>
        <color theme="1"/>
        <rFont val="Calibri"/>
        <family val="2"/>
        <scheme val="minor"/>
      </rPr>
      <t xml:space="preserve">Explosions: </t>
    </r>
    <r>
      <rPr>
        <sz val="12"/>
        <color theme="1"/>
        <rFont val="Calibri"/>
        <family val="2"/>
        <scheme val="minor"/>
      </rPr>
      <t xml:space="preserve"> Dying boss/ship explodes, causing damage, with a good screen shake effect. Ship respawns 5+ seconds later (boss does NOT reset). </t>
    </r>
    <r>
      <rPr>
        <b/>
        <i/>
        <sz val="12"/>
        <color theme="1"/>
        <rFont val="Calibri"/>
        <family val="2"/>
        <scheme val="minor"/>
      </rPr>
      <t>Extra credit</t>
    </r>
    <r>
      <rPr>
        <sz val="12"/>
        <color theme="1"/>
        <rFont val="Calibri"/>
        <family val="2"/>
        <scheme val="minor"/>
      </rPr>
      <t xml:space="preserve"> if high quality and finely tuned (and screen shake is not too loose/jarring).</t>
    </r>
  </si>
  <si>
    <r>
      <t xml:space="preserve">· </t>
    </r>
    <r>
      <rPr>
        <b/>
        <sz val="12"/>
        <color theme="1"/>
        <rFont val="Calibri"/>
        <family val="2"/>
        <scheme val="minor"/>
      </rPr>
      <t xml:space="preserve">Bullet Time: </t>
    </r>
    <r>
      <rPr>
        <sz val="12"/>
        <color theme="1"/>
        <rFont val="Calibri"/>
        <family val="2"/>
        <scheme val="minor"/>
      </rPr>
      <t xml:space="preserve">Ship is damaged by collisions, regenerates over time, and goes into an escalating "bullet time" when under 25% health. </t>
    </r>
    <r>
      <rPr>
        <b/>
        <i/>
        <sz val="12"/>
        <color theme="1"/>
        <rFont val="Calibri"/>
        <family val="2"/>
        <scheme val="minor"/>
      </rPr>
      <t>Extra credit</t>
    </r>
    <r>
      <rPr>
        <sz val="12"/>
        <color theme="1"/>
        <rFont val="Calibri"/>
        <family val="2"/>
        <scheme val="minor"/>
      </rPr>
      <t xml:space="preserve"> if effect feels really dramatic, with well-tuned regeneration and escalation rates.</t>
    </r>
  </si>
  <si>
    <r>
      <t xml:space="preserve">· </t>
    </r>
    <r>
      <rPr>
        <b/>
        <sz val="12"/>
        <color theme="1"/>
        <rFont val="Calibri"/>
        <family val="2"/>
        <scheme val="minor"/>
      </rPr>
      <t>Dynamic Boss:</t>
    </r>
    <r>
      <rPr>
        <sz val="12"/>
        <color theme="1"/>
        <rFont val="Calibri"/>
        <family val="2"/>
        <scheme val="minor"/>
      </rPr>
      <t xml:space="preserve"> Has multiple dynamic entities that are damaged independently. Has 3+ unique interesting attacks firing from different entities. </t>
    </r>
    <r>
      <rPr>
        <b/>
        <i/>
        <sz val="12"/>
        <color theme="1"/>
        <rFont val="Calibri"/>
        <family val="2"/>
        <scheme val="minor"/>
      </rPr>
      <t xml:space="preserve">Extra credit </t>
    </r>
    <r>
      <rPr>
        <sz val="12"/>
        <color theme="1"/>
        <rFont val="Calibri"/>
        <family val="2"/>
        <scheme val="minor"/>
      </rPr>
      <t>if sophisticated/interesting, with dynamic transformations, DOT effects, etc.</t>
    </r>
  </si>
  <si>
    <r>
      <t>·</t>
    </r>
    <r>
      <rPr>
        <sz val="12"/>
        <color theme="1"/>
        <rFont val="Calibri"/>
        <family val="2"/>
        <scheme val="minor"/>
      </rPr>
      <t xml:space="preserve"> </t>
    </r>
    <r>
      <rPr>
        <b/>
        <sz val="12"/>
        <color theme="1"/>
        <rFont val="Calibri"/>
        <family val="2"/>
        <scheme val="minor"/>
      </rPr>
      <t>Turning Gunship:</t>
    </r>
    <r>
      <rPr>
        <sz val="12"/>
        <color theme="1"/>
        <rFont val="Calibri"/>
        <family val="2"/>
        <scheme val="minor"/>
      </rPr>
      <t xml:space="preserve"> A/D turns left/right, using rotational velocity, accel, and jerk. Changing direction doesn't cause excessive over-rotation. </t>
    </r>
    <r>
      <rPr>
        <b/>
        <i/>
        <sz val="12"/>
        <color theme="1"/>
        <rFont val="Calibri"/>
        <family val="2"/>
        <scheme val="minor"/>
      </rPr>
      <t>Extra credit</t>
    </r>
    <r>
      <rPr>
        <sz val="12"/>
        <color theme="1"/>
        <rFont val="Calibri"/>
        <family val="2"/>
        <scheme val="minor"/>
      </rPr>
      <t xml:space="preserve"> for finely tuned angular velocity/accel/jerk values that are distinct for each ship.</t>
    </r>
  </si>
  <si>
    <r>
      <t>·</t>
    </r>
    <r>
      <rPr>
        <sz val="12"/>
        <color theme="1"/>
        <rFont val="Calibri"/>
        <family val="2"/>
        <scheme val="minor"/>
      </rPr>
      <t xml:space="preserve"> </t>
    </r>
    <r>
      <rPr>
        <b/>
        <sz val="12"/>
        <color theme="1"/>
        <rFont val="Calibri"/>
        <family val="2"/>
        <scheme val="minor"/>
      </rPr>
      <t>Moving Gunship:</t>
    </r>
    <r>
      <rPr>
        <sz val="12"/>
        <color theme="1"/>
        <rFont val="Calibri"/>
        <family val="2"/>
        <scheme val="minor"/>
      </rPr>
      <t xml:space="preserve"> W/S accelerates/decelerates, using velocity, accel, and jerk. Deceleration is very noticeably stronger than acceleration. </t>
    </r>
    <r>
      <rPr>
        <b/>
        <i/>
        <sz val="12"/>
        <color theme="1"/>
        <rFont val="Calibri"/>
        <family val="2"/>
        <scheme val="minor"/>
      </rPr>
      <t>Extra credit</t>
    </r>
    <r>
      <rPr>
        <sz val="12"/>
        <color theme="1"/>
        <rFont val="Calibri"/>
        <family val="2"/>
        <scheme val="minor"/>
      </rPr>
      <t xml:space="preserve"> for finely tuned velocity/accel/jerk values that are distinct for each ship.</t>
    </r>
  </si>
  <si>
    <r>
      <t>·</t>
    </r>
    <r>
      <rPr>
        <sz val="12"/>
        <color theme="1"/>
        <rFont val="Calibri"/>
        <family val="2"/>
        <scheme val="minor"/>
      </rPr>
      <t xml:space="preserve"> </t>
    </r>
    <r>
      <rPr>
        <b/>
        <sz val="12"/>
        <color theme="1"/>
        <rFont val="Calibri"/>
        <family val="2"/>
        <scheme val="minor"/>
      </rPr>
      <t>Gunship Sizes:</t>
    </r>
    <r>
      <rPr>
        <sz val="12"/>
        <color theme="1"/>
        <rFont val="Calibri"/>
        <family val="2"/>
        <scheme val="minor"/>
      </rPr>
      <t xml:space="preserve"> 3+ sizes (switched with # keys, small to large, default to small). Each size increase is at least 2x larger, slower, and more sluggish. </t>
    </r>
    <r>
      <rPr>
        <b/>
        <i/>
        <sz val="12"/>
        <color theme="1"/>
        <rFont val="Calibri"/>
        <family val="2"/>
        <scheme val="minor"/>
      </rPr>
      <t>Extra credit</t>
    </r>
    <r>
      <rPr>
        <sz val="12"/>
        <color theme="1"/>
        <rFont val="Calibri"/>
        <family val="2"/>
        <scheme val="minor"/>
      </rPr>
      <t xml:space="preserve"> for 3+ extra types beyond the base three, that each feel distinct and interesting.</t>
    </r>
  </si>
  <si>
    <r>
      <t>·</t>
    </r>
    <r>
      <rPr>
        <sz val="12"/>
        <color theme="1"/>
        <rFont val="Calibri"/>
        <family val="2"/>
        <scheme val="minor"/>
      </rPr>
      <t xml:space="preserve"> </t>
    </r>
    <r>
      <rPr>
        <b/>
        <sz val="12"/>
        <color theme="1"/>
        <rFont val="Calibri"/>
        <family val="2"/>
        <scheme val="minor"/>
      </rPr>
      <t xml:space="preserve">Chaingun: </t>
    </r>
    <r>
      <rPr>
        <sz val="12"/>
        <color theme="1"/>
        <rFont val="Calibri"/>
        <family val="2"/>
        <scheme val="minor"/>
      </rPr>
      <t xml:space="preserve">SPACE ramps up/down an auto-fire gun. Bigger ships have a bigger/faster gun. Spawning simple targets can be hit and destroyed. </t>
    </r>
    <r>
      <rPr>
        <b/>
        <i/>
        <sz val="12"/>
        <color theme="1"/>
        <rFont val="Calibri"/>
        <family val="2"/>
        <scheme val="minor"/>
      </rPr>
      <t>Extra credit</t>
    </r>
    <r>
      <rPr>
        <sz val="12"/>
        <color theme="1"/>
        <rFont val="Calibri"/>
        <family val="2"/>
        <scheme val="minor"/>
      </rPr>
      <t xml:space="preserve"> if the chaingun feels epic and viscerally satisfying, escalating well with ship size.</t>
    </r>
  </si>
  <si>
    <r>
      <t>·</t>
    </r>
    <r>
      <rPr>
        <sz val="12"/>
        <color theme="1"/>
        <rFont val="Calibri"/>
        <family val="2"/>
        <scheme val="minor"/>
      </rPr>
      <t xml:space="preserve"> </t>
    </r>
    <r>
      <rPr>
        <b/>
        <sz val="12"/>
        <color theme="1"/>
        <rFont val="Calibri"/>
        <family val="2"/>
        <scheme val="minor"/>
      </rPr>
      <t xml:space="preserve">Missiles: </t>
    </r>
    <r>
      <rPr>
        <sz val="12"/>
        <color theme="1"/>
        <rFont val="Calibri"/>
        <family val="2"/>
        <scheme val="minor"/>
      </rPr>
      <t>ENTER launches an escalating spread of missiles that track targets using acceleration/jerk for movement and a limited turning rate.</t>
    </r>
    <r>
      <rPr>
        <b/>
        <i/>
        <sz val="12"/>
        <color theme="1"/>
        <rFont val="Calibri"/>
        <family val="2"/>
        <scheme val="minor"/>
      </rPr>
      <t xml:space="preserve"> Extra credit </t>
    </r>
    <r>
      <rPr>
        <sz val="12"/>
        <color theme="1"/>
        <rFont val="Calibri"/>
        <family val="2"/>
        <scheme val="minor"/>
      </rPr>
      <t>if the missiles feel epic and viscerally satisfying, escalating well with ship size.</t>
    </r>
  </si>
  <si>
    <r>
      <t>·</t>
    </r>
    <r>
      <rPr>
        <sz val="12"/>
        <color theme="1"/>
        <rFont val="Calibri"/>
        <family val="2"/>
        <scheme val="minor"/>
      </rPr>
      <t xml:space="preserve"> </t>
    </r>
    <r>
      <rPr>
        <b/>
        <sz val="12"/>
        <color theme="1"/>
        <rFont val="Calibri"/>
        <family val="2"/>
        <scheme val="minor"/>
      </rPr>
      <t xml:space="preserve">Damage Effects: </t>
    </r>
    <r>
      <rPr>
        <sz val="12"/>
        <color theme="1"/>
        <rFont val="Calibri"/>
        <family val="2"/>
        <scheme val="minor"/>
      </rPr>
      <t xml:space="preserve">Targets/ship take incremental damage with dynamic hit feedback. Damaged ship leaves a trail and loses maneuverability. </t>
    </r>
    <r>
      <rPr>
        <b/>
        <i/>
        <sz val="12"/>
        <color theme="1"/>
        <rFont val="Calibri"/>
        <family val="2"/>
        <scheme val="minor"/>
      </rPr>
      <t>Extra credit</t>
    </r>
    <r>
      <rPr>
        <sz val="12"/>
        <color theme="1"/>
        <rFont val="Calibri"/>
        <family val="2"/>
        <scheme val="minor"/>
      </rPr>
      <t xml:space="preserve"> if polished, extensive, and create a visceral feeling of impact and destruction.</t>
    </r>
  </si>
  <si>
    <r>
      <t>·</t>
    </r>
    <r>
      <rPr>
        <sz val="12"/>
        <color theme="1"/>
        <rFont val="Calibri"/>
        <family val="2"/>
        <scheme val="minor"/>
      </rPr>
      <t xml:space="preserve"> </t>
    </r>
    <r>
      <rPr>
        <b/>
        <sz val="12"/>
        <color theme="1"/>
        <rFont val="Calibri"/>
        <family val="2"/>
        <scheme val="minor"/>
      </rPr>
      <t xml:space="preserve">Knockback: </t>
    </r>
    <r>
      <rPr>
        <sz val="12"/>
        <color theme="1"/>
        <rFont val="Calibri"/>
        <family val="2"/>
        <scheme val="minor"/>
      </rPr>
      <t>Targets get knocked back when hit. Chaingun has "kick" causing angle variation for shots that ramps up with firing rate.</t>
    </r>
    <r>
      <rPr>
        <b/>
        <i/>
        <sz val="12"/>
        <color theme="1"/>
        <rFont val="Calibri"/>
        <family val="2"/>
        <scheme val="minor"/>
      </rPr>
      <t xml:space="preserve"> Extra credit </t>
    </r>
    <r>
      <rPr>
        <sz val="12"/>
        <color theme="1"/>
        <rFont val="Calibri"/>
        <family val="2"/>
        <scheme val="minor"/>
      </rPr>
      <t>if knockback is well-crafted and applied well in a variety of situations.</t>
    </r>
  </si>
  <si>
    <r>
      <t xml:space="preserve">· </t>
    </r>
    <r>
      <rPr>
        <b/>
        <sz val="12"/>
        <color theme="1"/>
        <rFont val="Calibri"/>
        <family val="2"/>
        <scheme val="minor"/>
      </rPr>
      <t xml:space="preserve">Text Effects: </t>
    </r>
    <r>
      <rPr>
        <sz val="12"/>
        <color theme="1"/>
        <rFont val="Calibri"/>
        <family val="2"/>
        <scheme val="minor"/>
      </rPr>
      <t xml:space="preserve">Decently crafted pop-up text effects occur when the ship type changes, when anything spawns, and when anything is destroyed. </t>
    </r>
    <r>
      <rPr>
        <b/>
        <i/>
        <sz val="12"/>
        <color theme="1"/>
        <rFont val="Calibri"/>
        <family val="2"/>
        <scheme val="minor"/>
      </rPr>
      <t>Extra credit</t>
    </r>
    <r>
      <rPr>
        <sz val="12"/>
        <color theme="1"/>
        <rFont val="Calibri"/>
        <family val="2"/>
        <scheme val="minor"/>
      </rPr>
      <t xml:space="preserve"> if very well-crafted, with high-quality interpolation, animation, fading, etc.</t>
    </r>
  </si>
  <si>
    <r>
      <t xml:space="preserve">· </t>
    </r>
    <r>
      <rPr>
        <b/>
        <sz val="12"/>
        <color theme="1"/>
        <rFont val="Calibri"/>
        <family val="2"/>
        <scheme val="minor"/>
      </rPr>
      <t xml:space="preserve">Interpolating Camera: </t>
    </r>
    <r>
      <rPr>
        <sz val="12"/>
        <color theme="1"/>
        <rFont val="Calibri"/>
        <family val="2"/>
        <scheme val="minor"/>
      </rPr>
      <t xml:space="preserve">Smoothly follows the ship and zooms out based on speed. Playspace has a visible boundary that camera handles well. </t>
    </r>
    <r>
      <rPr>
        <b/>
        <i/>
        <sz val="12"/>
        <color theme="1"/>
        <rFont val="Calibri"/>
        <family val="2"/>
        <scheme val="minor"/>
      </rPr>
      <t>Extra credit</t>
    </r>
    <r>
      <rPr>
        <sz val="12"/>
        <color theme="1"/>
        <rFont val="Calibri"/>
        <family val="2"/>
        <scheme val="minor"/>
      </rPr>
      <t xml:space="preserve"> if well crafted and dynamically adjusts based on the boss or other enemies.</t>
    </r>
  </si>
  <si>
    <t>PROJECT REQUIREMENTS (Gunship Prototype)</t>
  </si>
  <si>
    <r>
      <t>Check-In 1A: Gunship Movement</t>
    </r>
    <r>
      <rPr>
        <sz val="14"/>
        <color theme="0"/>
        <rFont val="Calibri"/>
        <family val="2"/>
        <scheme val="minor"/>
      </rPr>
      <t xml:space="preserve"> (target is 2+ requirements)
</t>
    </r>
    <r>
      <rPr>
        <i/>
        <sz val="14"/>
        <color theme="0"/>
        <rFont val="Calibri"/>
        <family val="2"/>
        <scheme val="minor"/>
      </rPr>
      <t>+5% for "Target Met", +3% for "Some Progress", +1% for "No Progress", -10% for "Not Checked"</t>
    </r>
  </si>
  <si>
    <r>
      <t>Check-In 1B: Gunship Weapons</t>
    </r>
    <r>
      <rPr>
        <sz val="14"/>
        <color theme="0"/>
        <rFont val="Calibri"/>
        <family val="2"/>
        <scheme val="minor"/>
      </rPr>
      <t xml:space="preserve"> (target is 4+ requirements)
</t>
    </r>
    <r>
      <rPr>
        <i/>
        <sz val="14"/>
        <color theme="0"/>
        <rFont val="Calibri"/>
        <family val="2"/>
        <scheme val="minor"/>
      </rPr>
      <t>+5% for "Target Met", +3% for "Some Progress", +1% for "No Progress", -10% for "Not Checked"</t>
    </r>
  </si>
  <si>
    <r>
      <t>Check-In 1C: Combat Feedback</t>
    </r>
    <r>
      <rPr>
        <sz val="14"/>
        <color theme="0"/>
        <rFont val="Calibri"/>
        <family val="2"/>
        <scheme val="minor"/>
      </rPr>
      <t xml:space="preserve"> (target is 6+ requirements)
</t>
    </r>
    <r>
      <rPr>
        <i/>
        <sz val="14"/>
        <color theme="0"/>
        <rFont val="Calibri"/>
        <family val="2"/>
        <scheme val="minor"/>
      </rPr>
      <t>+5% for "Target Met", +3% for "Some Progress", +1% for "No Progress", -10% for "Not Checked"</t>
    </r>
  </si>
  <si>
    <r>
      <t>Check-In 1D: Boss Fight</t>
    </r>
    <r>
      <rPr>
        <sz val="14"/>
        <color theme="0"/>
        <rFont val="Calibri"/>
        <family val="2"/>
        <scheme val="minor"/>
      </rPr>
      <t xml:space="preserve"> (target is 8+ requirements)
</t>
    </r>
    <r>
      <rPr>
        <i/>
        <sz val="14"/>
        <color theme="0"/>
        <rFont val="Calibri"/>
        <family val="2"/>
        <scheme val="minor"/>
      </rPr>
      <t>+5% for "Target Met", +3% for "Some Progress", +1% for "No Progress", -10% for "Not Checked"</t>
    </r>
  </si>
  <si>
    <r>
      <t>Check-In 1E: Automation and Telemetry</t>
    </r>
    <r>
      <rPr>
        <sz val="14"/>
        <color theme="0"/>
        <rFont val="Calibri"/>
        <family val="2"/>
        <scheme val="minor"/>
      </rPr>
      <t xml:space="preserve"> (target is 10+ requirements)
</t>
    </r>
    <r>
      <rPr>
        <i/>
        <sz val="14"/>
        <color theme="0"/>
        <rFont val="Calibri"/>
        <family val="2"/>
        <scheme val="minor"/>
      </rPr>
      <t>+5% for "Target Met", +3% for "Some Progress", +1% for "No Progress", -10% for "Not Checked"</t>
    </r>
  </si>
  <si>
    <t>Include data about ship position and facing, weapon fire, damage taken, etc.</t>
  </si>
  <si>
    <t>Include data about boss movement, firing, damage taken, behavior states, etc.</t>
  </si>
  <si>
    <t>Copy all gunship, weapon, boss, feedback, etc. code into this tab. Format it so that it is decently readable.</t>
  </si>
  <si>
    <t>Full Credit</t>
  </si>
  <si>
    <t>Partial Credit</t>
  </si>
  <si>
    <t>No Credit</t>
  </si>
  <si>
    <t>This project went OK over all, I am finally getting the hang of organizing my self as well as  at least attempting to keep things organzied for as long as possible. I think the rate at which I try to change things means that this eventualy breaks down. I'm thinking I might need to add a step to my process where I refactor things instead of just plowing ahead. The problem, I think, is that when I'm trying to solve a problem my fixation is almost entirely blind to any other problems I'm creating by doing so. And this includes archetecture problems, it has in the past resulted me in making mega files because I just assumed I would need a function just here. Unity certainly isn't helping my habit by keeping all C# files ina  global space but I've forced myself by at least using folder based namespaces. Tweaking this project, things that had to scale.. enough I did get done but I also didn't get my full idea for this project in. My goal was to have it feel like you are in your ship going around a planet and that to be the point of reference to where you are in the world. There wasn't a good solution to this and in hindsight. this should have just been a flat world with a vertex warp of space. or just accept the difficulty of doing 2d planes around a sphere instead. But the more you know for next time. I did get to do some procedural work that I'm happy to say turned out better than I would have expected. The planet texture itself is a full perlin noise thing. And while I did want to add normal maps to it so it had some hight, some clouds.... etc.... by the time i realized i was wasting my time with an objective that way out paced the scope of what I was supposed to be doing at all, I had already gotten to the point that I was at. As I've talked without about this in length, I do know this is a problem, I'm trying to loop habits into making this better. But untill then... I'm sorry.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</si>
</sst>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family val="2"/>
      <scheme val="minor"/>
    </font>
    <font>
      <sz val="12"/>
      <color theme="1"/>
      <name val="Calibri"/>
      <family val="2"/>
      <scheme val="minor"/>
    </font>
    <font>
      <b/>
      <sz val="12"/>
      <color theme="1"/>
      <name val="Calibri"/>
      <family val="2"/>
      <scheme val="minor"/>
    </font>
    <font>
      <sz val="12"/>
      <color theme="1"/>
      <name val="Symbol"/>
      <family val="1"/>
      <charset val="2"/>
    </font>
    <font>
      <sz val="12"/>
      <color theme="1"/>
      <name val="Calibri"/>
      <family val="1"/>
      <charset val="2"/>
      <scheme val="minor"/>
    </font>
    <font>
      <i/>
      <sz val="12"/>
      <color theme="1"/>
      <name val="Calibri"/>
      <family val="2"/>
      <scheme val="minor"/>
    </font>
    <font>
      <sz val="18"/>
      <color theme="1"/>
      <name val="Calibri"/>
      <family val="2"/>
      <scheme val="minor"/>
    </font>
    <font>
      <b/>
      <sz val="18"/>
      <color theme="0"/>
      <name val="Calibri"/>
      <family val="2"/>
      <scheme val="minor"/>
    </font>
    <font>
      <b/>
      <sz val="14"/>
      <color theme="0"/>
      <name val="Calibri"/>
      <family val="2"/>
      <scheme val="minor"/>
    </font>
    <font>
      <i/>
      <sz val="14"/>
      <color theme="0"/>
      <name val="Calibri"/>
      <family val="2"/>
      <scheme val="minor"/>
    </font>
    <font>
      <b/>
      <sz val="12"/>
      <name val="Calibri"/>
      <family val="2"/>
      <scheme val="minor"/>
    </font>
    <font>
      <sz val="12"/>
      <name val="Calibri"/>
      <family val="2"/>
      <scheme val="minor"/>
    </font>
    <font>
      <sz val="11"/>
      <color theme="1"/>
      <name val="Calibri"/>
      <family val="2"/>
      <scheme val="minor"/>
    </font>
    <font>
      <i/>
      <sz val="10"/>
      <color theme="1"/>
      <name val="Calibri"/>
      <family val="2"/>
    </font>
    <font>
      <i/>
      <sz val="8"/>
      <color theme="1"/>
      <name val="Calibri"/>
      <family val="2"/>
    </font>
    <font>
      <b/>
      <sz val="14"/>
      <color theme="1"/>
      <name val="Calibri"/>
      <family val="2"/>
      <scheme val="minor"/>
    </font>
    <font>
      <b/>
      <sz val="14"/>
      <name val="Calibri"/>
      <family val="2"/>
      <scheme val="minor"/>
    </font>
    <font>
      <i/>
      <sz val="12"/>
      <name val="Calibri"/>
      <family val="2"/>
      <scheme val="minor"/>
    </font>
    <font>
      <i/>
      <sz val="11"/>
      <color theme="1"/>
      <name val="Calibri"/>
      <family val="2"/>
      <scheme val="minor"/>
    </font>
    <font>
      <sz val="18"/>
      <color theme="0"/>
      <name val="Calibri"/>
      <family val="2"/>
      <scheme val="minor"/>
    </font>
    <font>
      <sz val="14"/>
      <color theme="0"/>
      <name val="Calibri"/>
      <family val="2"/>
      <scheme val="minor"/>
    </font>
    <font>
      <b/>
      <i/>
      <sz val="12"/>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right/>
      <top/>
      <bottom style="medium">
        <color indexed="64"/>
      </bottom>
      <diagonal/>
    </border>
  </borders>
  <cellStyleXfs count="2">
    <xf numFmtId="0" fontId="0" fillId="0" borderId="0"/>
    <xf numFmtId="9" fontId="12" fillId="0" borderId="0" applyFont="0" applyFill="0" applyBorder="0" applyAlignment="0" applyProtection="0"/>
  </cellStyleXfs>
  <cellXfs count="52">
    <xf numFmtId="0" fontId="0" fillId="0" borderId="0" xfId="0"/>
    <xf numFmtId="0" fontId="1" fillId="0" borderId="0" xfId="0" applyFont="1"/>
    <xf numFmtId="0" fontId="1" fillId="0" borderId="0" xfId="0" applyFont="1" applyAlignment="1">
      <alignment horizontal="left"/>
    </xf>
    <xf numFmtId="0" fontId="6" fillId="0" borderId="0" xfId="0" applyFont="1"/>
    <xf numFmtId="0" fontId="1" fillId="0" borderId="0" xfId="0" applyFont="1" applyAlignment="1">
      <alignment horizontal="left" wrapText="1" indent="1"/>
    </xf>
    <xf numFmtId="0" fontId="3" fillId="0" borderId="3" xfId="0" applyFont="1" applyBorder="1" applyAlignment="1">
      <alignment horizontal="left" vertical="center" wrapText="1" indent="1"/>
    </xf>
    <xf numFmtId="0" fontId="7" fillId="2" borderId="1" xfId="0" applyFont="1" applyFill="1" applyBorder="1" applyAlignment="1">
      <alignment horizontal="left" indent="1"/>
    </xf>
    <xf numFmtId="0" fontId="11" fillId="3" borderId="0" xfId="0" applyFont="1" applyFill="1"/>
    <xf numFmtId="0" fontId="10" fillId="3" borderId="1" xfId="0" applyFont="1" applyFill="1" applyBorder="1" applyAlignment="1">
      <alignment horizontal="center"/>
    </xf>
    <xf numFmtId="0" fontId="6" fillId="0" borderId="0" xfId="0" applyFont="1" applyAlignment="1">
      <alignment wrapText="1"/>
    </xf>
    <xf numFmtId="0" fontId="1" fillId="0" borderId="0" xfId="0" applyFont="1" applyAlignment="1">
      <alignment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5" xfId="0" applyFont="1" applyBorder="1" applyAlignment="1">
      <alignment horizontal="left" vertical="top" wrapText="1" indent="1"/>
    </xf>
    <xf numFmtId="9" fontId="1" fillId="0" borderId="0" xfId="1" applyFont="1"/>
    <xf numFmtId="0" fontId="1" fillId="0" borderId="3" xfId="0" applyFont="1" applyBorder="1" applyAlignment="1">
      <alignment horizontal="left" vertical="top" wrapText="1" indent="1"/>
    </xf>
    <xf numFmtId="0" fontId="2" fillId="0" borderId="6" xfId="0" applyFont="1" applyBorder="1" applyAlignment="1">
      <alignment horizontal="center" vertical="center" wrapText="1"/>
    </xf>
    <xf numFmtId="9" fontId="2" fillId="0" borderId="1" xfId="1" applyFont="1" applyBorder="1" applyAlignment="1">
      <alignment horizontal="center" vertical="center"/>
    </xf>
    <xf numFmtId="9" fontId="15" fillId="0" borderId="4" xfId="1" applyFont="1" applyBorder="1" applyAlignment="1">
      <alignment horizontal="center" vertical="center"/>
    </xf>
    <xf numFmtId="0" fontId="1" fillId="0" borderId="0" xfId="0" applyFont="1" applyAlignment="1">
      <alignment horizontal="left" vertical="center" indent="1"/>
    </xf>
    <xf numFmtId="0" fontId="2" fillId="0" borderId="0" xfId="0" applyFont="1" applyAlignment="1">
      <alignment horizontal="left" vertical="center" wrapText="1" indent="1"/>
    </xf>
    <xf numFmtId="0" fontId="7" fillId="2" borderId="2" xfId="0" applyFont="1" applyFill="1" applyBorder="1" applyAlignment="1">
      <alignment horizontal="left" vertical="center" indent="1"/>
    </xf>
    <xf numFmtId="0" fontId="1" fillId="0" borderId="0" xfId="0" applyFont="1" applyAlignment="1">
      <alignment horizontal="center"/>
    </xf>
    <xf numFmtId="9" fontId="1" fillId="0" borderId="0" xfId="1" applyFont="1" applyAlignment="1">
      <alignment horizontal="center"/>
    </xf>
    <xf numFmtId="0" fontId="17" fillId="0" borderId="0" xfId="0" applyFont="1" applyAlignment="1">
      <alignment horizontal="left" vertical="top" indent="1"/>
    </xf>
    <xf numFmtId="0" fontId="10" fillId="0" borderId="0" xfId="0" applyFont="1" applyAlignment="1">
      <alignment horizontal="left" indent="1"/>
    </xf>
    <xf numFmtId="0" fontId="11" fillId="0" borderId="0" xfId="0" applyFont="1"/>
    <xf numFmtId="0" fontId="7" fillId="2" borderId="0" xfId="0" applyFont="1" applyFill="1" applyAlignment="1">
      <alignment horizontal="left" vertical="top" indent="1"/>
    </xf>
    <xf numFmtId="0" fontId="0" fillId="0" borderId="0" xfId="0" applyAlignment="1">
      <alignment horizontal="left" vertical="top" indent="1"/>
    </xf>
    <xf numFmtId="0" fontId="0" fillId="0" borderId="0" xfId="0" applyAlignment="1">
      <alignment horizontal="left" vertical="top"/>
    </xf>
    <xf numFmtId="0" fontId="18" fillId="0" borderId="0" xfId="0" applyFont="1" applyAlignment="1">
      <alignment horizontal="left" vertical="top"/>
    </xf>
    <xf numFmtId="0" fontId="5" fillId="0" borderId="0" xfId="0" applyFont="1" applyAlignment="1">
      <alignment horizontal="left" indent="1"/>
    </xf>
    <xf numFmtId="0" fontId="16" fillId="3" borderId="6" xfId="0" applyFont="1" applyFill="1" applyBorder="1" applyAlignment="1">
      <alignment horizontal="center" vertical="center"/>
    </xf>
    <xf numFmtId="164" fontId="19" fillId="0" borderId="0" xfId="0" applyNumberFormat="1" applyFont="1"/>
    <xf numFmtId="164" fontId="2" fillId="0" borderId="4" xfId="1" applyNumberFormat="1" applyFont="1" applyBorder="1" applyAlignment="1">
      <alignment horizontal="center" vertical="center"/>
    </xf>
    <xf numFmtId="0" fontId="2" fillId="0" borderId="1" xfId="0" applyFont="1" applyBorder="1" applyAlignment="1">
      <alignment horizontal="center" vertical="center" wrapText="1"/>
    </xf>
    <xf numFmtId="0" fontId="8" fillId="2" borderId="1" xfId="0" applyFont="1" applyFill="1" applyBorder="1" applyAlignment="1">
      <alignment horizontal="left" vertical="center" wrapText="1" indent="1"/>
    </xf>
    <xf numFmtId="0" fontId="3" fillId="0" borderId="1" xfId="0" applyFont="1" applyBorder="1" applyAlignment="1">
      <alignment horizontal="left" vertical="center" wrapText="1" indent="1"/>
    </xf>
    <xf numFmtId="0" fontId="1" fillId="0" borderId="9" xfId="0" applyFont="1" applyBorder="1" applyAlignment="1">
      <alignment horizontal="left" vertical="top" wrapText="1" indent="1"/>
    </xf>
    <xf numFmtId="0" fontId="4" fillId="0" borderId="1" xfId="0" applyFont="1" applyBorder="1" applyAlignment="1">
      <alignment horizontal="left" wrapText="1" indent="1"/>
    </xf>
    <xf numFmtId="0" fontId="1" fillId="0" borderId="0" xfId="0" applyFont="1" applyAlignment="1">
      <alignment horizontal="left" vertical="center"/>
    </xf>
    <xf numFmtId="0" fontId="14" fillId="0" borderId="8" xfId="0" applyFont="1" applyBorder="1" applyAlignment="1">
      <alignment horizontal="center" vertical="top" wrapText="1"/>
    </xf>
    <xf numFmtId="0" fontId="13" fillId="0" borderId="8" xfId="0" applyFont="1" applyBorder="1" applyAlignment="1">
      <alignment horizontal="center" vertical="top" wrapText="1"/>
    </xf>
    <xf numFmtId="0" fontId="13" fillId="0" borderId="0" xfId="0" applyFont="1" applyAlignment="1">
      <alignment horizontal="center" vertical="top" wrapText="1"/>
    </xf>
    <xf numFmtId="0" fontId="13" fillId="0" borderId="9" xfId="0" applyFont="1" applyBorder="1" applyAlignment="1">
      <alignment horizontal="center" vertical="top" wrapText="1"/>
    </xf>
    <xf numFmtId="9" fontId="1" fillId="0" borderId="4" xfId="1" applyFont="1" applyBorder="1" applyAlignment="1">
      <alignment horizontal="left" vertical="top"/>
    </xf>
    <xf numFmtId="9" fontId="1" fillId="0" borderId="5" xfId="1" applyFont="1" applyBorder="1" applyAlignment="1">
      <alignment horizontal="left" vertical="top"/>
    </xf>
    <xf numFmtId="9" fontId="1" fillId="0" borderId="6" xfId="1" applyFont="1" applyBorder="1" applyAlignment="1">
      <alignment horizontal="left" vertical="top"/>
    </xf>
    <xf numFmtId="0" fontId="1" fillId="0" borderId="8" xfId="0" applyFont="1" applyBorder="1" applyAlignment="1">
      <alignment horizontal="left" vertical="top" wrapText="1"/>
    </xf>
    <xf numFmtId="0" fontId="1" fillId="0" borderId="0" xfId="0" applyFont="1" applyAlignment="1">
      <alignment horizontal="left" vertical="top" wrapText="1"/>
    </xf>
    <xf numFmtId="0" fontId="7" fillId="2" borderId="7" xfId="0" applyFont="1" applyFill="1" applyBorder="1" applyAlignment="1">
      <alignment horizontal="left" indent="1"/>
    </xf>
    <xf numFmtId="0" fontId="7" fillId="2" borderId="0" xfId="0" applyFont="1" applyFill="1" applyAlignment="1">
      <alignment horizontal="left" indent="1"/>
    </xf>
  </cellXfs>
  <cellStyles count="2">
    <cellStyle name="Normal" xfId="0" builtinId="0"/>
    <cellStyle name="Percent" xfId="1" builtinId="5"/>
  </cellStyles>
  <dxfs count="72">
    <dxf>
      <fill>
        <patternFill>
          <bgColor rgb="FFC00000"/>
        </patternFill>
      </fill>
    </dxf>
    <dxf>
      <fill>
        <patternFill>
          <bgColor rgb="FFC00000"/>
        </patternFill>
      </fill>
    </dxf>
    <dxf>
      <fill>
        <patternFill>
          <bgColor theme="7" tint="0.39994506668294322"/>
        </patternFill>
      </fill>
    </dxf>
    <dxf>
      <font>
        <strike val="0"/>
      </font>
      <fill>
        <patternFill>
          <bgColor theme="7" tint="0.39994506668294322"/>
        </patternFill>
      </fill>
    </dxf>
    <dxf>
      <font>
        <strike val="0"/>
      </font>
      <fill>
        <patternFill>
          <bgColor theme="7" tint="0.39994506668294322"/>
        </patternFill>
      </fill>
    </dxf>
    <dxf>
      <fill>
        <patternFill>
          <bgColor theme="7" tint="0.39994506668294322"/>
        </patternFill>
      </fill>
    </dxf>
    <dxf>
      <font>
        <strike val="0"/>
      </font>
      <fill>
        <patternFill>
          <bgColor theme="9"/>
        </patternFill>
      </fill>
    </dxf>
    <dxf>
      <fill>
        <patternFill>
          <bgColor theme="9"/>
        </patternFill>
      </fill>
    </dxf>
    <dxf>
      <fill>
        <patternFill>
          <bgColor theme="9"/>
        </patternFill>
      </fill>
    </dxf>
    <dxf>
      <fill>
        <patternFill>
          <bgColor rgb="FF00B0F0"/>
        </patternFill>
      </fill>
    </dxf>
    <dxf>
      <fill>
        <patternFill>
          <bgColor rgb="FF00B0F0"/>
        </patternFill>
      </fill>
    </dxf>
    <dxf>
      <fill>
        <patternFill>
          <bgColor rgb="FF00B0F0"/>
        </patternFill>
      </fill>
    </dxf>
    <dxf>
      <font>
        <strike val="0"/>
      </font>
      <fill>
        <patternFill>
          <bgColor theme="7" tint="0.39994506668294322"/>
        </patternFill>
      </fill>
    </dxf>
    <dxf>
      <fill>
        <patternFill>
          <bgColor rgb="FFC00000"/>
        </patternFill>
      </fill>
    </dxf>
    <dxf>
      <fill>
        <patternFill>
          <bgColor rgb="FFC00000"/>
        </patternFill>
      </fill>
    </dxf>
    <dxf>
      <fill>
        <patternFill>
          <bgColor theme="7" tint="0.39994506668294322"/>
        </patternFill>
      </fill>
    </dxf>
    <dxf>
      <fill>
        <patternFill>
          <bgColor theme="7" tint="0.39994506668294322"/>
        </patternFill>
      </fill>
    </dxf>
    <dxf>
      <font>
        <strike val="0"/>
      </font>
      <fill>
        <patternFill>
          <bgColor theme="9"/>
        </patternFill>
      </fill>
    </dxf>
    <dxf>
      <fill>
        <patternFill>
          <bgColor theme="9"/>
        </patternFill>
      </fill>
    </dxf>
    <dxf>
      <fill>
        <patternFill>
          <bgColor theme="9"/>
        </patternFill>
      </fill>
    </dxf>
    <dxf>
      <fill>
        <patternFill>
          <bgColor rgb="FF00B0F0"/>
        </patternFill>
      </fill>
    </dxf>
    <dxf>
      <fill>
        <patternFill>
          <bgColor rgb="FF00B0F0"/>
        </patternFill>
      </fill>
    </dxf>
    <dxf>
      <fill>
        <patternFill>
          <bgColor rgb="FF00B0F0"/>
        </patternFill>
      </fill>
    </dxf>
    <dxf>
      <font>
        <strike val="0"/>
      </font>
      <fill>
        <patternFill>
          <bgColor theme="7" tint="0.39994506668294322"/>
        </patternFill>
      </fill>
    </dxf>
    <dxf>
      <fill>
        <patternFill>
          <bgColor rgb="FF00B0F0"/>
        </patternFill>
      </fill>
    </dxf>
    <dxf>
      <fill>
        <patternFill>
          <bgColor rgb="FFC00000"/>
        </patternFill>
      </fill>
    </dxf>
    <dxf>
      <fill>
        <patternFill>
          <bgColor rgb="FF00B0F0"/>
        </patternFill>
      </fill>
    </dxf>
    <dxf>
      <fill>
        <patternFill>
          <bgColor rgb="FFC00000"/>
        </patternFill>
      </fill>
    </dxf>
    <dxf>
      <fill>
        <patternFill>
          <bgColor rgb="FF00B0F0"/>
        </patternFill>
      </fill>
    </dxf>
    <dxf>
      <fill>
        <patternFill>
          <bgColor theme="9"/>
        </patternFill>
      </fill>
    </dxf>
    <dxf>
      <fill>
        <patternFill>
          <bgColor theme="9"/>
        </patternFill>
      </fill>
    </dxf>
    <dxf>
      <font>
        <strike val="0"/>
      </font>
      <fill>
        <patternFill>
          <bgColor theme="9"/>
        </patternFill>
      </fill>
    </dxf>
    <dxf>
      <fill>
        <patternFill>
          <bgColor theme="7" tint="0.39994506668294322"/>
        </patternFill>
      </fill>
    </dxf>
    <dxf>
      <font>
        <strike val="0"/>
      </font>
      <fill>
        <patternFill>
          <bgColor theme="7" tint="0.39994506668294322"/>
        </patternFill>
      </fill>
    </dxf>
    <dxf>
      <font>
        <strike val="0"/>
      </font>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rgb="FF00B0F0"/>
        </patternFill>
      </fill>
    </dxf>
    <dxf>
      <fill>
        <patternFill>
          <bgColor theme="9"/>
        </patternFill>
      </fill>
    </dxf>
    <dxf>
      <fill>
        <patternFill>
          <bgColor theme="9"/>
        </patternFill>
      </fill>
    </dxf>
    <dxf>
      <font>
        <strike val="0"/>
      </font>
      <fill>
        <patternFill>
          <bgColor theme="9"/>
        </patternFill>
      </fill>
    </dxf>
    <dxf>
      <fill>
        <patternFill>
          <bgColor theme="7" tint="0.39994506668294322"/>
        </patternFill>
      </fill>
    </dxf>
    <dxf>
      <font>
        <strike val="0"/>
      </font>
      <fill>
        <patternFill>
          <bgColor theme="7" tint="0.39994506668294322"/>
        </patternFill>
      </fill>
    </dxf>
    <dxf>
      <font>
        <strike val="0"/>
      </font>
      <fill>
        <patternFill>
          <bgColor theme="7" tint="0.39994506668294322"/>
        </patternFill>
      </fill>
    </dxf>
    <dxf>
      <fill>
        <patternFill>
          <bgColor theme="7" tint="0.39994506668294322"/>
        </patternFill>
      </fill>
    </dxf>
    <dxf>
      <fill>
        <patternFill>
          <bgColor rgb="FFC00000"/>
        </patternFill>
      </fill>
    </dxf>
    <dxf>
      <fill>
        <patternFill>
          <bgColor rgb="FFC00000"/>
        </patternFill>
      </fill>
    </dxf>
    <dxf>
      <fill>
        <patternFill>
          <bgColor rgb="FF00B0F0"/>
        </patternFill>
      </fill>
    </dxf>
    <dxf>
      <fill>
        <patternFill>
          <bgColor theme="9"/>
        </patternFill>
      </fill>
    </dxf>
    <dxf>
      <fill>
        <patternFill>
          <bgColor rgb="FFC00000"/>
        </patternFill>
      </fill>
    </dxf>
    <dxf>
      <fill>
        <patternFill>
          <bgColor rgb="FFC00000"/>
        </patternFill>
      </fill>
    </dxf>
    <dxf>
      <fill>
        <patternFill>
          <bgColor theme="7" tint="0.39994506668294322"/>
        </patternFill>
      </fill>
    </dxf>
    <dxf>
      <font>
        <strike val="0"/>
      </font>
      <fill>
        <patternFill>
          <bgColor theme="7" tint="0.39994506668294322"/>
        </patternFill>
      </fill>
    </dxf>
    <dxf>
      <font>
        <strike val="0"/>
      </font>
      <fill>
        <patternFill>
          <bgColor theme="7" tint="0.39994506668294322"/>
        </patternFill>
      </fill>
    </dxf>
    <dxf>
      <fill>
        <patternFill>
          <bgColor theme="7" tint="0.39994506668294322"/>
        </patternFill>
      </fill>
    </dxf>
    <dxf>
      <font>
        <strike val="0"/>
      </font>
      <fill>
        <patternFill>
          <bgColor theme="9"/>
        </patternFill>
      </fill>
    </dxf>
    <dxf>
      <fill>
        <patternFill>
          <bgColor theme="9"/>
        </patternFill>
      </fill>
    </dxf>
    <dxf>
      <fill>
        <patternFill>
          <bgColor rgb="FF00B0F0"/>
        </patternFill>
      </fill>
    </dxf>
    <dxf>
      <fill>
        <patternFill>
          <bgColor rgb="FF00B0F0"/>
        </patternFill>
      </fill>
    </dxf>
    <dxf>
      <fill>
        <patternFill>
          <bgColor rgb="FFC00000"/>
        </patternFill>
      </fill>
    </dxf>
    <dxf>
      <fill>
        <patternFill>
          <bgColor rgb="FFC00000"/>
        </patternFill>
      </fill>
    </dxf>
    <dxf>
      <fill>
        <patternFill>
          <bgColor theme="7" tint="0.39994506668294322"/>
        </patternFill>
      </fill>
    </dxf>
    <dxf>
      <font>
        <strike val="0"/>
      </font>
      <fill>
        <patternFill>
          <bgColor theme="7" tint="0.39994506668294322"/>
        </patternFill>
      </fill>
    </dxf>
    <dxf>
      <fill>
        <patternFill>
          <bgColor theme="7" tint="0.39994506668294322"/>
        </patternFill>
      </fill>
    </dxf>
    <dxf>
      <font>
        <strike val="0"/>
      </font>
      <fill>
        <patternFill>
          <bgColor theme="9"/>
        </patternFill>
      </fill>
    </dxf>
    <dxf>
      <fill>
        <patternFill>
          <bgColor theme="9"/>
        </patternFill>
      </fill>
    </dxf>
    <dxf>
      <fill>
        <patternFill>
          <bgColor theme="9"/>
        </patternFill>
      </fill>
    </dxf>
    <dxf>
      <fill>
        <patternFill>
          <bgColor rgb="FF00B0F0"/>
        </patternFill>
      </fill>
    </dxf>
    <dxf>
      <fill>
        <patternFill>
          <bgColor rgb="FF00B0F0"/>
        </patternFill>
      </fill>
    </dxf>
    <dxf>
      <font>
        <strike val="0"/>
      </font>
      <fill>
        <patternFill>
          <bgColor theme="7" tint="0.39994506668294322"/>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157B-2C69-40ED-8105-705AC516B6B8}">
  <dimension ref="A1:E42"/>
  <sheetViews>
    <sheetView tabSelected="1" topLeftCell="A27" zoomScale="145" zoomScaleNormal="145" workbookViewId="0">
      <selection activeCell="B27" sqref="B27"/>
    </sheetView>
  </sheetViews>
  <sheetFormatPr defaultColWidth="9.05078125" defaultRowHeight="15.6"/>
  <cols>
    <col min="1" max="1" width="6.578125" style="14" customWidth="1"/>
    <col min="2" max="2" width="8.578125" style="1" customWidth="1"/>
    <col min="3" max="3" width="106.68359375" style="4" customWidth="1"/>
    <col min="4" max="4" width="9.05078125" style="1"/>
    <col min="5" max="5" width="9.05078125" style="10"/>
    <col min="6" max="16384" width="9.05078125" style="1"/>
  </cols>
  <sheetData>
    <row r="1" spans="1:5" s="3" customFormat="1" ht="23.4" thickBot="1">
      <c r="A1" s="18">
        <f>MIN(1,(MAX(D1,(SUM(A4:A963)+IF(ISBLANK(A2),0,MIN(0,A2-0.7))))))</f>
        <v>0.11</v>
      </c>
      <c r="B1" s="32" t="s">
        <v>4</v>
      </c>
      <c r="C1" s="21" t="s">
        <v>29</v>
      </c>
      <c r="D1" s="33">
        <f>MAX(A6,0)+MAX(A11,0)+MAX(A16,0)+MAX(A21,0)+MAX(A26,0)+MAX(A31,0)+COUNTIF(A7:A9,"&gt;0")*0.01+COUNTIF(A12:A14,"&gt;0")*0.01+COUNTIF(A17:A19,"&gt;0")*0.01+COUNTIF(A22:A24,"&gt;0")*0.01+COUNTIF(A27:A28,"&gt;0")*0.01+COUNTIF(A32:A34,"&gt;0")*0.01</f>
        <v>0.11</v>
      </c>
      <c r="E1" s="9"/>
    </row>
    <row r="2" spans="1:5" ht="31.5" thickBot="1">
      <c r="A2" s="17">
        <v>1</v>
      </c>
      <c r="B2" s="16" t="s">
        <v>1</v>
      </c>
      <c r="C2" s="15" t="s">
        <v>12</v>
      </c>
    </row>
    <row r="3" spans="1:5" ht="4.05" customHeight="1">
      <c r="A3" s="41" t="s">
        <v>5</v>
      </c>
      <c r="B3" s="42"/>
      <c r="C3" s="15"/>
    </row>
    <row r="4" spans="1:5" ht="31.5" thickBot="1">
      <c r="A4" s="43"/>
      <c r="B4" s="43"/>
      <c r="C4" s="15" t="s">
        <v>6</v>
      </c>
    </row>
    <row r="5" spans="1:5" ht="8.1" customHeight="1" thickBot="1">
      <c r="A5" s="44"/>
      <c r="B5" s="44"/>
      <c r="C5" s="13"/>
    </row>
    <row r="6" spans="1:5" s="2" customFormat="1" ht="36.9" thickBot="1">
      <c r="A6" s="34" t="str">
        <f>IF(LEFT(B6,3)="Not",-0.1,IF(LEFT(B6,2)="No",0.01,IF(LEFT(B6,4)="Some",0.03,IF(LEFT(B6,6)="Target",0.05,"n/a"))))</f>
        <v>n/a</v>
      </c>
      <c r="B6" s="35"/>
      <c r="C6" s="36" t="s">
        <v>30</v>
      </c>
      <c r="E6" s="11"/>
    </row>
    <row r="7" spans="1:5" s="2" customFormat="1" ht="31.5" thickBot="1">
      <c r="A7" s="34">
        <f>IF(LEFT(B7,2)="No",-0.1,IF(LEFT(B7,7)="Partial",0.01,IF(LEFT(B7,4)="Full",0.03,IF(LEFT(B7,5)="Extra",0.05,"n/a"))))</f>
        <v>0.03</v>
      </c>
      <c r="B7" s="35" t="s">
        <v>38</v>
      </c>
      <c r="C7" s="37" t="s">
        <v>21</v>
      </c>
      <c r="E7" s="12"/>
    </row>
    <row r="8" spans="1:5" s="2" customFormat="1" ht="31.5" thickBot="1">
      <c r="A8" s="34">
        <f>IF(LEFT(B8,2)="No",-0.1,IF(LEFT(B8,7)="Partial",0.01,IF(LEFT(B8,4)="Full",0.03,IF(LEFT(B8,5)="Extra",0.05,"n/a"))))</f>
        <v>0.03</v>
      </c>
      <c r="B8" s="35" t="s">
        <v>38</v>
      </c>
      <c r="C8" s="37" t="s">
        <v>20</v>
      </c>
      <c r="E8" s="12"/>
    </row>
    <row r="9" spans="1:5" s="2" customFormat="1" ht="31.9" customHeight="1" thickBot="1">
      <c r="A9" s="34">
        <f>IF(LEFT(B9,2)="No",-0.1,IF(LEFT(B9,7)="Partial",0.01,IF(LEFT(B9,4)="Full",0.03,IF(LEFT(B9,5)="Extra",0.05,"n/a"))))</f>
        <v>0.03</v>
      </c>
      <c r="B9" s="35" t="s">
        <v>38</v>
      </c>
      <c r="C9" s="37" t="s">
        <v>22</v>
      </c>
      <c r="E9" s="12"/>
    </row>
    <row r="10" spans="1:5" ht="8.1" customHeight="1" thickBot="1">
      <c r="C10" s="38"/>
    </row>
    <row r="11" spans="1:5" s="2" customFormat="1" ht="36.9" thickBot="1">
      <c r="A11" s="34" t="str">
        <f>IF(LEFT(B11,3)="Not",-0.1,IF(LEFT(B11,2)="No",0.01,IF(LEFT(B11,4)="Some",0.03,IF(LEFT(B11,6)="Target",0.05,"n/a"))))</f>
        <v>n/a</v>
      </c>
      <c r="B11" s="35"/>
      <c r="C11" s="36" t="s">
        <v>31</v>
      </c>
      <c r="E11" s="12"/>
    </row>
    <row r="12" spans="1:5" s="2" customFormat="1" ht="31.9" customHeight="1" thickBot="1">
      <c r="A12" s="34">
        <f>IF(LEFT(B12,2)="No",-0.1,IF(LEFT(B12,7)="Partial",0.01,IF(LEFT(B12,4)="Full",0.03,IF(LEFT(B12,5)="Extra",0.05,"n/a"))))</f>
        <v>0.03</v>
      </c>
      <c r="B12" s="35" t="s">
        <v>38</v>
      </c>
      <c r="C12" s="37" t="s">
        <v>23</v>
      </c>
      <c r="E12" s="12"/>
    </row>
    <row r="13" spans="1:5" s="2" customFormat="1" ht="31.5" thickBot="1">
      <c r="A13" s="34">
        <f>IF(LEFT(B13,2)="No",-0.1,IF(LEFT(B13,7)="Partial",0.01,IF(LEFT(B13,4)="Full",0.03,IF(LEFT(B13,5)="Extra",0.05,"n/a"))))</f>
        <v>0.03</v>
      </c>
      <c r="B13" s="35" t="s">
        <v>38</v>
      </c>
      <c r="C13" s="37" t="s">
        <v>24</v>
      </c>
      <c r="E13" s="11"/>
    </row>
    <row r="14" spans="1:5" s="2" customFormat="1" ht="31.5" thickBot="1">
      <c r="A14" s="34">
        <f>IF(LEFT(B14,2)="No",-0.1,IF(LEFT(B14,7)="Partial",0.01,IF(LEFT(B14,4)="Full",0.03,IF(LEFT(B14,5)="Extra",0.05,"n/a"))))</f>
        <v>0.03</v>
      </c>
      <c r="B14" s="35" t="s">
        <v>38</v>
      </c>
      <c r="C14" s="37" t="s">
        <v>28</v>
      </c>
      <c r="E14" s="12"/>
    </row>
    <row r="15" spans="1:5" ht="8.1" customHeight="1" thickBot="1">
      <c r="C15" s="13"/>
    </row>
    <row r="16" spans="1:5" s="2" customFormat="1" ht="36.9" thickBot="1">
      <c r="A16" s="34" t="str">
        <f>IF(LEFT(B16,3)="Not",-0.1,IF(LEFT(B16,2)="No",0.01,IF(LEFT(B16,4)="Some",0.03,IF(LEFT(B16,6)="Target",0.05,"n/a"))))</f>
        <v>n/a</v>
      </c>
      <c r="B16" s="35"/>
      <c r="C16" s="36" t="s">
        <v>32</v>
      </c>
      <c r="E16" s="12"/>
    </row>
    <row r="17" spans="1:5" s="2" customFormat="1" ht="31.5" thickBot="1">
      <c r="A17" s="34">
        <f>IF(LEFT(B17,2)="No",-0.1,IF(LEFT(B17,7)="Partial",0.01,IF(LEFT(B17,4)="Full",0.03,IF(LEFT(B17,5)="Extra",0.05,"n/a"))))</f>
        <v>0.03</v>
      </c>
      <c r="B17" s="35" t="s">
        <v>38</v>
      </c>
      <c r="C17" s="37" t="s">
        <v>25</v>
      </c>
      <c r="E17" s="12"/>
    </row>
    <row r="18" spans="1:5" s="2" customFormat="1" ht="31.9" customHeight="1" thickBot="1">
      <c r="A18" s="34">
        <f>IF(LEFT(B18,2)="No",-0.1,IF(LEFT(B18,7)="Partial",0.01,IF(LEFT(B18,4)="Full",0.03,IF(LEFT(B18,5)="Extra",0.05,"n/a"))))</f>
        <v>0.01</v>
      </c>
      <c r="B18" s="35" t="s">
        <v>39</v>
      </c>
      <c r="C18" s="37" t="s">
        <v>26</v>
      </c>
      <c r="E18" s="11"/>
    </row>
    <row r="19" spans="1:5" s="2" customFormat="1" ht="31.5" thickBot="1">
      <c r="A19" s="34">
        <f>IF(LEFT(B19,2)="No",-0.1,IF(LEFT(B19,7)="Partial",0.01,IF(LEFT(B19,4)="Full",0.03,IF(LEFT(B19,5)="Extra",0.05,"n/a"))))</f>
        <v>0.03</v>
      </c>
      <c r="B19" s="35" t="s">
        <v>38</v>
      </c>
      <c r="C19" s="37" t="s">
        <v>18</v>
      </c>
      <c r="E19" s="12"/>
    </row>
    <row r="20" spans="1:5" ht="8.1" customHeight="1" thickBot="1">
      <c r="C20" s="13"/>
    </row>
    <row r="21" spans="1:5" s="2" customFormat="1" ht="36.9" thickBot="1">
      <c r="A21" s="34" t="str">
        <f>IF(LEFT(B21,3)="Not",-0.1,IF(LEFT(B21,2)="No",0.01,IF(LEFT(B21,4)="Some",0.03,IF(LEFT(B21,6)="Target",0.05,"n/a"))))</f>
        <v>n/a</v>
      </c>
      <c r="B21" s="35"/>
      <c r="C21" s="36" t="s">
        <v>33</v>
      </c>
      <c r="E21" s="11"/>
    </row>
    <row r="22" spans="1:5" s="2" customFormat="1" ht="31.5" thickBot="1">
      <c r="A22" s="34">
        <f>IF(LEFT(B22,2)="No",-0.1,IF(LEFT(B22,7)="Partial",0.01,IF(LEFT(B22,4)="Full",0.03,IF(LEFT(B22,5)="Extra",0.05,"n/a"))))</f>
        <v>-0.1</v>
      </c>
      <c r="B22" s="35" t="s">
        <v>40</v>
      </c>
      <c r="C22" s="37" t="s">
        <v>19</v>
      </c>
      <c r="E22" s="40"/>
    </row>
    <row r="23" spans="1:5" s="2" customFormat="1" ht="31.9" customHeight="1" thickBot="1">
      <c r="A23" s="34">
        <f>IF(LEFT(B23,2)="No",-0.1,IF(LEFT(B23,7)="Partial",0.01,IF(LEFT(B23,4)="Full",0.03,IF(LEFT(B23,5)="Extra",0.05,"n/a"))))</f>
        <v>0.01</v>
      </c>
      <c r="B23" s="35" t="s">
        <v>39</v>
      </c>
      <c r="C23" s="5" t="s">
        <v>17</v>
      </c>
      <c r="E23" s="12"/>
    </row>
    <row r="24" spans="1:5" s="2" customFormat="1" ht="31.5" thickBot="1">
      <c r="A24" s="34">
        <f>IF(LEFT(B24,2)="No",-0.1,IF(LEFT(B24,7)="Partial",0.01,IF(LEFT(B24,4)="Full",0.03,IF(LEFT(B24,5)="Extra",0.05,"n/a"))))</f>
        <v>0.03</v>
      </c>
      <c r="B24" s="35" t="s">
        <v>38</v>
      </c>
      <c r="C24" s="37" t="s">
        <v>27</v>
      </c>
      <c r="E24" s="11"/>
    </row>
    <row r="25" spans="1:5" ht="8.1" customHeight="1" thickBot="1">
      <c r="C25" s="13"/>
    </row>
    <row r="26" spans="1:5" s="2" customFormat="1" ht="36.9" thickBot="1">
      <c r="A26" s="34" t="str">
        <f>IF(LEFT(B26,3)="Not",-0.1,IF(LEFT(B26,2)="No",0.01,IF(LEFT(B26,4)="Some",0.03,IF(LEFT(B26,6)="Target",0.05,"n/a"))))</f>
        <v>n/a</v>
      </c>
      <c r="B26" s="35"/>
      <c r="C26" s="36" t="s">
        <v>34</v>
      </c>
      <c r="E26" s="12"/>
    </row>
    <row r="27" spans="1:5" s="2" customFormat="1" ht="31.9" customHeight="1" thickBot="1">
      <c r="A27" s="34">
        <f>IF(LEFT(B27,2)="No",-0.1,IF(LEFT(B27,7)="Partial",0.01,IF(LEFT(B27,4)="Full",0.03,IF(LEFT(B27,5)="Extra",0.05,"n/a"))))</f>
        <v>-0.1</v>
      </c>
      <c r="B27" s="35" t="s">
        <v>40</v>
      </c>
      <c r="C27" s="37" t="s">
        <v>15</v>
      </c>
      <c r="E27" s="11"/>
    </row>
    <row r="28" spans="1:5" s="2" customFormat="1" ht="31.5" thickBot="1">
      <c r="A28" s="34" t="str">
        <f>IF(LEFT(B28,2)="No",-0.1,IF(LEFT(B28,7)="Partial",0.01,IF(LEFT(B28,4)="Full",0.03,IF(LEFT(B28,5)="Extra",0.05,"n/a"))))</f>
        <v>n/a</v>
      </c>
      <c r="B28" s="35"/>
      <c r="C28" s="37" t="s">
        <v>16</v>
      </c>
      <c r="E28" s="12"/>
    </row>
    <row r="29" spans="1:5" s="2" customFormat="1" ht="31.5" thickBot="1">
      <c r="A29" s="34" t="str">
        <f>IF(LEFT(B29,2)="No",-0.1,IF(LEFT(B29,7)="Partial",0.01,IF(LEFT(B29,4)="Full",0.03,IF(LEFT(B29,5)="Extra",0.05,"n/a"))))</f>
        <v>n/a</v>
      </c>
      <c r="B29" s="35"/>
      <c r="C29" s="37" t="s">
        <v>14</v>
      </c>
      <c r="E29" s="12"/>
    </row>
    <row r="30" spans="1:5" ht="8.1" customHeight="1" thickBot="1">
      <c r="E30" s="12"/>
    </row>
    <row r="31" spans="1:5" s="19" customFormat="1" ht="36.9" thickBot="1">
      <c r="A31" s="34" t="str">
        <f>IF(LEFT(B31,3)="Not",-0.1,IF(LEFT(B31,6)="Target",0.01,IF(LEFT(B31,6)="Second",0.03,IF(LEFT(B31,5)="First",0.05,"n/a"))))</f>
        <v>n/a</v>
      </c>
      <c r="B31" s="35"/>
      <c r="C31" s="36" t="s">
        <v>7</v>
      </c>
      <c r="E31" s="20"/>
    </row>
    <row r="32" spans="1:5" s="2" customFormat="1" ht="31.5" thickBot="1">
      <c r="A32" s="34" t="str">
        <f>IF(LEFT(B32,2)="No",-0.1,IF(LEFT(B32,7)="Partial",0.01,IF(LEFT(B32,4)="Full",0.03,IF(LEFT(B32,5)="Extra",0.05,"n/a"))))</f>
        <v>n/a</v>
      </c>
      <c r="B32" s="35"/>
      <c r="C32" s="37" t="s">
        <v>8</v>
      </c>
      <c r="E32" s="12"/>
    </row>
    <row r="33" spans="1:5" s="2" customFormat="1" ht="31.5" thickBot="1">
      <c r="A33" s="34" t="str">
        <f>IF(LEFT(B33,2)="No",-0.1,IF(LEFT(B33,7)="Partial",0.01,IF(LEFT(B33,4)="Full",0.03,IF(LEFT(B33,5)="Extra",0.05,"n/a"))))</f>
        <v>n/a</v>
      </c>
      <c r="B33" s="35"/>
      <c r="C33" s="37" t="s">
        <v>13</v>
      </c>
      <c r="E33" s="12"/>
    </row>
    <row r="34" spans="1:5" ht="31.5" thickBot="1">
      <c r="A34" s="34" t="str">
        <f>IF(LEFT(B34,2)="No",-0.1,IF(LEFT(B34,7)="Partial",0.01,IF(LEFT(B34,4)="Full",0.03,IF(LEFT(B34,5)="Extra",0.05,"n/a"))))</f>
        <v>n/a</v>
      </c>
      <c r="B34" s="35"/>
      <c r="C34" s="39" t="s">
        <v>9</v>
      </c>
      <c r="E34" s="12"/>
    </row>
    <row r="35" spans="1:5" ht="15.9" thickBot="1"/>
    <row r="36" spans="1:5" ht="36.9" thickBot="1">
      <c r="A36" s="34" t="str">
        <f>IF(LEFT(B36,5)="Small",0.01,IF(LEFT(B36,3)="Big",0.03,IF(LEFT(B36,4)="Lots",0.05,"n/a")))</f>
        <v>n/a</v>
      </c>
      <c r="B36" s="35"/>
      <c r="C36" s="36" t="s">
        <v>10</v>
      </c>
    </row>
    <row r="37" spans="1:5" ht="64.150000000000006" customHeight="1" thickBot="1">
      <c r="A37" s="45"/>
      <c r="B37" s="46"/>
      <c r="C37" s="47"/>
      <c r="E37" s="1"/>
    </row>
    <row r="38" spans="1:5">
      <c r="E38" s="1"/>
    </row>
    <row r="39" spans="1:5">
      <c r="E39" s="1"/>
    </row>
    <row r="40" spans="1:5">
      <c r="E40" s="1"/>
    </row>
    <row r="41" spans="1:5">
      <c r="E41" s="1"/>
    </row>
    <row r="42" spans="1:5">
      <c r="E42" s="1"/>
    </row>
  </sheetData>
  <mergeCells count="2">
    <mergeCell ref="A3:B5"/>
    <mergeCell ref="A37:C37"/>
  </mergeCells>
  <conditionalFormatting sqref="A1">
    <cfRule type="colorScale" priority="95">
      <colorScale>
        <cfvo type="num" val="0.4"/>
        <cfvo type="num" val="0.65"/>
        <cfvo type="num" val="0.9"/>
        <color rgb="FFC00000"/>
        <color theme="7" tint="0.39997558519241921"/>
        <color theme="9"/>
      </colorScale>
    </cfRule>
  </conditionalFormatting>
  <conditionalFormatting sqref="A2">
    <cfRule type="colorScale" priority="96">
      <colorScale>
        <cfvo type="num" val="0.5"/>
        <cfvo type="num" val="0.65"/>
        <cfvo type="num" val="0.8"/>
        <color rgb="FFC00000"/>
        <color theme="7" tint="0.39997558519241921"/>
        <color theme="9"/>
      </colorScale>
    </cfRule>
  </conditionalFormatting>
  <conditionalFormatting sqref="B6:B9 B1:B2 A3 B38:B1048576">
    <cfRule type="beginsWith" dxfId="71" priority="97" stopIfTrue="1" operator="beginsWith" text="Extra">
      <formula>LEFT(A1,LEN("Extra"))="Extra"</formula>
    </cfRule>
  </conditionalFormatting>
  <conditionalFormatting sqref="B6:B9">
    <cfRule type="beginsWith" dxfId="70" priority="89" stopIfTrue="1" operator="beginsWith" text="No Progress">
      <formula>LEFT(B6,LEN("No Progress"))="No Progress"</formula>
    </cfRule>
    <cfRule type="beginsWith" dxfId="69" priority="98" stopIfTrue="1" operator="beginsWith" text="Lots">
      <formula>LEFT(B6,LEN("Lots"))="Lots"</formula>
    </cfRule>
    <cfRule type="endsWith" dxfId="68" priority="94" stopIfTrue="1" operator="endsWith" text="Met">
      <formula>RIGHT(B6,LEN("Met"))="Met"</formula>
    </cfRule>
    <cfRule type="beginsWith" dxfId="67" priority="93" stopIfTrue="1" operator="beginsWith" text="Big">
      <formula>LEFT(B6,LEN("Big"))="Big"</formula>
    </cfRule>
    <cfRule type="beginsWith" dxfId="66" priority="92" stopIfTrue="1" operator="beginsWith" text="Full">
      <formula>LEFT(B6,LEN("Full"))="Full"</formula>
    </cfRule>
    <cfRule type="beginsWith" dxfId="65" priority="91" stopIfTrue="1" operator="beginsWith" text="Some">
      <formula>LEFT(B6,LEN("Some"))="Some"</formula>
    </cfRule>
    <cfRule type="beginsWith" dxfId="64" priority="90" stopIfTrue="1" operator="beginsWith" text="Small">
      <formula>LEFT(B6,LEN("Small"))="Small"</formula>
    </cfRule>
    <cfRule type="beginsWith" dxfId="63" priority="88" stopIfTrue="1" operator="beginsWith" text="Partial">
      <formula>LEFT(B6,LEN("Partial"))="Partial"</formula>
    </cfRule>
    <cfRule type="endsWith" dxfId="62" priority="87" stopIfTrue="1" operator="endsWith" text="Missed">
      <formula>RIGHT(B6,LEN("Missed"))="Missed"</formula>
    </cfRule>
    <cfRule type="beginsWith" dxfId="61" priority="86" stopIfTrue="1" operator="beginsWith" text="Not">
      <formula>LEFT(B6,LEN("Not"))="Not"</formula>
    </cfRule>
    <cfRule type="beginsWith" dxfId="60" priority="85" stopIfTrue="1" operator="beginsWith" text="No Credit">
      <formula>LEFT(B6,LEN("No Credit"))="No Credit"</formula>
    </cfRule>
  </conditionalFormatting>
  <conditionalFormatting sqref="B11:B14 B26:B29">
    <cfRule type="beginsWith" dxfId="59" priority="83" stopIfTrue="1" operator="beginsWith" text="Extra">
      <formula>LEFT(B11,LEN("Extra"))="Extra"</formula>
    </cfRule>
    <cfRule type="endsWith" dxfId="58" priority="82" stopIfTrue="1" operator="endsWith" text="Met">
      <formula>RIGHT(B11,LEN("Met"))="Met"</formula>
    </cfRule>
    <cfRule type="beginsWith" dxfId="57" priority="81" stopIfTrue="1" operator="beginsWith" text="Big">
      <formula>LEFT(B11,LEN("Big"))="Big"</formula>
    </cfRule>
    <cfRule type="beginsWith" dxfId="56" priority="79" stopIfTrue="1" operator="beginsWith" text="Some">
      <formula>LEFT(B11,LEN("Some"))="Some"</formula>
    </cfRule>
    <cfRule type="beginsWith" dxfId="55" priority="78" stopIfTrue="1" operator="beginsWith" text="Small">
      <formula>LEFT(B11,LEN("Small"))="Small"</formula>
    </cfRule>
    <cfRule type="beginsWith" dxfId="54" priority="77" stopIfTrue="1" operator="beginsWith" text="No Progress">
      <formula>LEFT(B11,LEN("No Progress"))="No Progress"</formula>
    </cfRule>
    <cfRule type="beginsWith" dxfId="53" priority="76" stopIfTrue="1" operator="beginsWith" text="Partial">
      <formula>LEFT(B11,LEN("Partial"))="Partial"</formula>
    </cfRule>
    <cfRule type="endsWith" dxfId="52" priority="75" stopIfTrue="1" operator="endsWith" text="Missed">
      <formula>RIGHT(B11,LEN("Missed"))="Missed"</formula>
    </cfRule>
    <cfRule type="beginsWith" dxfId="51" priority="74" stopIfTrue="1" operator="beginsWith" text="Not">
      <formula>LEFT(B11,LEN("Not"))="Not"</formula>
    </cfRule>
    <cfRule type="beginsWith" dxfId="50" priority="73" stopIfTrue="1" operator="beginsWith" text="No Credit">
      <formula>LEFT(B11,LEN("No Credit"))="No Credit"</formula>
    </cfRule>
    <cfRule type="beginsWith" dxfId="49" priority="80" stopIfTrue="1" operator="beginsWith" text="Full">
      <formula>LEFT(B11,LEN("Full"))="Full"</formula>
    </cfRule>
    <cfRule type="beginsWith" dxfId="48" priority="84" stopIfTrue="1" operator="beginsWith" text="Lots">
      <formula>LEFT(B11,LEN("Lots"))="Lots"</formula>
    </cfRule>
  </conditionalFormatting>
  <conditionalFormatting sqref="B16:B19">
    <cfRule type="beginsWith" dxfId="47" priority="1" stopIfTrue="1" operator="beginsWith" text="No Credit">
      <formula>LEFT(B16,LEN("No Credit"))="No Credit"</formula>
    </cfRule>
    <cfRule type="beginsWith" dxfId="46" priority="2" stopIfTrue="1" operator="beginsWith" text="Not">
      <formula>LEFT(B16,LEN("Not"))="Not"</formula>
    </cfRule>
    <cfRule type="endsWith" dxfId="45" priority="3" stopIfTrue="1" operator="endsWith" text="Missed">
      <formula>RIGHT(B16,LEN("Missed"))="Missed"</formula>
    </cfRule>
    <cfRule type="beginsWith" dxfId="44" priority="4" stopIfTrue="1" operator="beginsWith" text="Partial">
      <formula>LEFT(B16,LEN("Partial"))="Partial"</formula>
    </cfRule>
    <cfRule type="beginsWith" dxfId="43" priority="5" stopIfTrue="1" operator="beginsWith" text="No Progress">
      <formula>LEFT(B16,LEN("No Progress"))="No Progress"</formula>
    </cfRule>
    <cfRule type="beginsWith" dxfId="42" priority="6" stopIfTrue="1" operator="beginsWith" text="Small">
      <formula>LEFT(B16,LEN("Small"))="Small"</formula>
    </cfRule>
    <cfRule type="beginsWith" dxfId="41" priority="7" stopIfTrue="1" operator="beginsWith" text="Some">
      <formula>LEFT(B16,LEN("Some"))="Some"</formula>
    </cfRule>
    <cfRule type="beginsWith" dxfId="40" priority="8" stopIfTrue="1" operator="beginsWith" text="Full">
      <formula>LEFT(B16,LEN("Full"))="Full"</formula>
    </cfRule>
    <cfRule type="beginsWith" dxfId="39" priority="9" stopIfTrue="1" operator="beginsWith" text="Big">
      <formula>LEFT(B16,LEN("Big"))="Big"</formula>
    </cfRule>
    <cfRule type="beginsWith" dxfId="38" priority="11" stopIfTrue="1" operator="beginsWith" text="Extra">
      <formula>LEFT(B16,LEN("Extra"))="Extra"</formula>
    </cfRule>
    <cfRule type="beginsWith" dxfId="37" priority="12" stopIfTrue="1" operator="beginsWith" text="Lots">
      <formula>LEFT(B16,LEN("Lots"))="Lots"</formula>
    </cfRule>
    <cfRule type="endsWith" dxfId="36" priority="10" stopIfTrue="1" operator="endsWith" text="Met">
      <formula>RIGHT(B16,LEN("Met"))="Met"</formula>
    </cfRule>
  </conditionalFormatting>
  <conditionalFormatting sqref="B21:B24">
    <cfRule type="endsWith" dxfId="35" priority="51" stopIfTrue="1" operator="endsWith" text="Missed">
      <formula>RIGHT(B21,LEN("Missed"))="Missed"</formula>
    </cfRule>
    <cfRule type="beginsWith" dxfId="34" priority="52" stopIfTrue="1" operator="beginsWith" text="Partial">
      <formula>LEFT(B21,LEN("Partial"))="Partial"</formula>
    </cfRule>
    <cfRule type="beginsWith" dxfId="33" priority="53" stopIfTrue="1" operator="beginsWith" text="No Progress">
      <formula>LEFT(B21,LEN("No Progress"))="No Progress"</formula>
    </cfRule>
    <cfRule type="beginsWith" dxfId="32" priority="54" stopIfTrue="1" operator="beginsWith" text="Small">
      <formula>LEFT(B21,LEN("Small"))="Small"</formula>
    </cfRule>
    <cfRule type="beginsWith" dxfId="31" priority="55" stopIfTrue="1" operator="beginsWith" text="Some">
      <formula>LEFT(B21,LEN("Some"))="Some"</formula>
    </cfRule>
    <cfRule type="beginsWith" dxfId="30" priority="56" stopIfTrue="1" operator="beginsWith" text="Full">
      <formula>LEFT(B21,LEN("Full"))="Full"</formula>
    </cfRule>
    <cfRule type="beginsWith" dxfId="29" priority="57" stopIfTrue="1" operator="beginsWith" text="Big">
      <formula>LEFT(B21,LEN("Big"))="Big"</formula>
    </cfRule>
    <cfRule type="endsWith" dxfId="28" priority="58" stopIfTrue="1" operator="endsWith" text="Met">
      <formula>RIGHT(B21,LEN("Met"))="Met"</formula>
    </cfRule>
    <cfRule type="beginsWith" dxfId="27" priority="50" stopIfTrue="1" operator="beginsWith" text="Not">
      <formula>LEFT(B21,LEN("Not"))="Not"</formula>
    </cfRule>
    <cfRule type="beginsWith" dxfId="26" priority="60" stopIfTrue="1" operator="beginsWith" text="Lots">
      <formula>LEFT(B21,LEN("Lots"))="Lots"</formula>
    </cfRule>
    <cfRule type="beginsWith" dxfId="25" priority="49" stopIfTrue="1" operator="beginsWith" text="No Credit">
      <formula>LEFT(B21,LEN("No Credit"))="No Credit"</formula>
    </cfRule>
    <cfRule type="beginsWith" dxfId="24" priority="59" stopIfTrue="1" operator="beginsWith" text="Extra">
      <formula>LEFT(B21,LEN("Extra"))="Extra"</formula>
    </cfRule>
  </conditionalFormatting>
  <conditionalFormatting sqref="B31:B34">
    <cfRule type="beginsWith" dxfId="23" priority="29" stopIfTrue="1" operator="beginsWith" text="No Progress">
      <formula>LEFT(B31,LEN("No Progress"))="No Progress"</formula>
    </cfRule>
    <cfRule type="beginsWith" dxfId="22" priority="36" stopIfTrue="1" operator="beginsWith" text="Lots">
      <formula>LEFT(B31,LEN("Lots"))="Lots"</formula>
    </cfRule>
    <cfRule type="beginsWith" dxfId="21" priority="35" stopIfTrue="1" operator="beginsWith" text="Extra">
      <formula>LEFT(B31,LEN("Extra"))="Extra"</formula>
    </cfRule>
    <cfRule type="endsWith" dxfId="20" priority="34" stopIfTrue="1" operator="endsWith" text="Met">
      <formula>RIGHT(B31,LEN("Met"))="Met"</formula>
    </cfRule>
    <cfRule type="beginsWith" dxfId="19" priority="33" stopIfTrue="1" operator="beginsWith" text="Big">
      <formula>LEFT(B31,LEN("Big"))="Big"</formula>
    </cfRule>
    <cfRule type="beginsWith" dxfId="18" priority="32" stopIfTrue="1" operator="beginsWith" text="Full">
      <formula>LEFT(B31,LEN("Full"))="Full"</formula>
    </cfRule>
    <cfRule type="beginsWith" dxfId="17" priority="31" stopIfTrue="1" operator="beginsWith" text="Some">
      <formula>LEFT(B31,LEN("Some"))="Some"</formula>
    </cfRule>
    <cfRule type="beginsWith" dxfId="16" priority="30" stopIfTrue="1" operator="beginsWith" text="Small">
      <formula>LEFT(B31,LEN("Small"))="Small"</formula>
    </cfRule>
    <cfRule type="endsWith" dxfId="15" priority="27" stopIfTrue="1" operator="endsWith" text="Missed">
      <formula>RIGHT(B31,LEN("Missed"))="Missed"</formula>
    </cfRule>
    <cfRule type="beginsWith" dxfId="14" priority="26" stopIfTrue="1" operator="beginsWith" text="Not">
      <formula>LEFT(B31,LEN("Not"))="Not"</formula>
    </cfRule>
    <cfRule type="beginsWith" dxfId="13" priority="25" stopIfTrue="1" operator="beginsWith" text="No Credit">
      <formula>LEFT(B31,LEN("No Credit"))="No Credit"</formula>
    </cfRule>
    <cfRule type="beginsWith" dxfId="12" priority="28" stopIfTrue="1" operator="beginsWith" text="Partial">
      <formula>LEFT(B31,LEN("Partial"))="Partial"</formula>
    </cfRule>
  </conditionalFormatting>
  <conditionalFormatting sqref="B36">
    <cfRule type="beginsWith" dxfId="11" priority="24" stopIfTrue="1" operator="beginsWith" text="Lots">
      <formula>LEFT(B36,LEN("Lots"))="Lots"</formula>
    </cfRule>
    <cfRule type="beginsWith" dxfId="10" priority="23" stopIfTrue="1" operator="beginsWith" text="Extra">
      <formula>LEFT(B36,LEN("Extra"))="Extra"</formula>
    </cfRule>
    <cfRule type="endsWith" dxfId="9" priority="22" stopIfTrue="1" operator="endsWith" text="Met">
      <formula>RIGHT(B36,LEN("Met"))="Met"</formula>
    </cfRule>
    <cfRule type="beginsWith" dxfId="8" priority="21" stopIfTrue="1" operator="beginsWith" text="Big">
      <formula>LEFT(B36,LEN("Big"))="Big"</formula>
    </cfRule>
    <cfRule type="beginsWith" dxfId="7" priority="20" stopIfTrue="1" operator="beginsWith" text="Full">
      <formula>LEFT(B36,LEN("Full"))="Full"</formula>
    </cfRule>
    <cfRule type="beginsWith" dxfId="6" priority="19" stopIfTrue="1" operator="beginsWith" text="Some">
      <formula>LEFT(B36,LEN("Some"))="Some"</formula>
    </cfRule>
    <cfRule type="beginsWith" dxfId="5" priority="18" stopIfTrue="1" operator="beginsWith" text="Small">
      <formula>LEFT(B36,LEN("Small"))="Small"</formula>
    </cfRule>
    <cfRule type="beginsWith" dxfId="4" priority="17" stopIfTrue="1" operator="beginsWith" text="No Progress">
      <formula>LEFT(B36,LEN("No Progress"))="No Progress"</formula>
    </cfRule>
    <cfRule type="beginsWith" dxfId="3" priority="16" stopIfTrue="1" operator="beginsWith" text="Partial">
      <formula>LEFT(B36,LEN("Partial"))="Partial"</formula>
    </cfRule>
    <cfRule type="endsWith" dxfId="2" priority="15" stopIfTrue="1" operator="endsWith" text="Missed">
      <formula>RIGHT(B36,LEN("Missed"))="Missed"</formula>
    </cfRule>
    <cfRule type="beginsWith" dxfId="1" priority="14" stopIfTrue="1" operator="beginsWith" text="Not">
      <formula>LEFT(B36,LEN("Not"))="Not"</formula>
    </cfRule>
    <cfRule type="beginsWith" dxfId="0" priority="13" stopIfTrue="1" operator="beginsWith" text="No Credit">
      <formula>LEFT(B36,LEN("No Credit"))="No Credit"</formula>
    </cfRule>
  </conditionalFormatting>
  <dataValidations count="5">
    <dataValidation type="list" allowBlank="1" showInputMessage="1" showErrorMessage="1" sqref="B36" xr:uid="{D54A9AC6-6C90-4EBF-BD53-532A2BB84333}">
      <formula1>"Small Thing,Big Thing,Lots of Things"</formula1>
    </dataValidation>
    <dataValidation type="list" allowBlank="1" showInputMessage="1" showErrorMessage="1" sqref="B31" xr:uid="{5F7820BB-5CEB-4372-9D98-7B0054D93701}">
      <formula1>"Not Checked,Target Missed,Second Hour,First Hour"</formula1>
    </dataValidation>
    <dataValidation type="list" allowBlank="1" showInputMessage="1" showErrorMessage="1" sqref="B6 B11 B16 B21 B26" xr:uid="{C56A4067-BDC0-435F-BAF9-B334FB823CE7}">
      <formula1>"Not Checked,No Progress,Some Progress,Target Met"</formula1>
    </dataValidation>
    <dataValidation type="list" allowBlank="1" showInputMessage="1" showErrorMessage="1" sqref="B7:B9 B12:B14 B32:B33 B17:B19 B22:B24 B27:B29" xr:uid="{6EC922D2-C8B6-43EF-8A42-B4025B4BADDB}">
      <formula1>"No Credit,Partial Credit,Full Credit,Extra Credit"</formula1>
    </dataValidation>
    <dataValidation type="list" allowBlank="1" showInputMessage="1" showErrorMessage="1" sqref="B34" xr:uid="{D899E022-03CA-43C4-A3BB-7D7D7EB5BD5D}">
      <formula1>"No Credit,Partial Credit,Full Credit"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B2E6A-0D51-4D50-A1BC-AE4071052ED9}">
  <dimension ref="A1:A50"/>
  <sheetViews>
    <sheetView workbookViewId="0">
      <selection activeCell="A3" sqref="A3:A50"/>
    </sheetView>
  </sheetViews>
  <sheetFormatPr defaultRowHeight="14.4"/>
  <cols>
    <col min="1" max="1" width="89.68359375" customWidth="1"/>
  </cols>
  <sheetData>
    <row r="1" spans="1:1" ht="23.4" thickBot="1">
      <c r="A1" s="6" t="s">
        <v>0</v>
      </c>
    </row>
    <row r="2" spans="1:1" s="7" customFormat="1" ht="15.9" thickBot="1">
      <c r="A2" s="8" t="str">
        <f>IF(LEN(A3) &gt; 2000,"-----",IF(LEN(A3) &gt; 1000,"---",IF(LEN(A3) &gt; 500,"You need more post-mortem reflection.",IF(A3&gt;0,"You need A LOT MORE post-mortem reflection.","How did the project go? What did you learn? What could you improve?"))))</f>
        <v>---</v>
      </c>
    </row>
    <row r="3" spans="1:1" ht="409.5" customHeight="1">
      <c r="A3" s="48" t="s">
        <v>41</v>
      </c>
    </row>
    <row r="4" spans="1:1">
      <c r="A4" s="49"/>
    </row>
    <row r="5" spans="1:1">
      <c r="A5" s="49"/>
    </row>
    <row r="6" spans="1:1">
      <c r="A6" s="49"/>
    </row>
    <row r="7" spans="1:1">
      <c r="A7" s="49"/>
    </row>
    <row r="8" spans="1:1">
      <c r="A8" s="49"/>
    </row>
    <row r="9" spans="1:1">
      <c r="A9" s="49"/>
    </row>
    <row r="10" spans="1:1">
      <c r="A10" s="49"/>
    </row>
    <row r="11" spans="1:1">
      <c r="A11" s="49"/>
    </row>
    <row r="12" spans="1:1">
      <c r="A12" s="49"/>
    </row>
    <row r="13" spans="1:1">
      <c r="A13" s="49"/>
    </row>
    <row r="14" spans="1:1">
      <c r="A14" s="49"/>
    </row>
    <row r="15" spans="1:1">
      <c r="A15" s="49"/>
    </row>
    <row r="16" spans="1:1">
      <c r="A16" s="49"/>
    </row>
    <row r="17" spans="1:1">
      <c r="A17" s="49"/>
    </row>
    <row r="18" spans="1:1">
      <c r="A18" s="49"/>
    </row>
    <row r="19" spans="1:1">
      <c r="A19" s="49"/>
    </row>
    <row r="20" spans="1:1">
      <c r="A20" s="49"/>
    </row>
    <row r="21" spans="1:1">
      <c r="A21" s="49"/>
    </row>
    <row r="22" spans="1:1">
      <c r="A22" s="49"/>
    </row>
    <row r="23" spans="1:1">
      <c r="A23" s="49"/>
    </row>
    <row r="24" spans="1:1">
      <c r="A24" s="49"/>
    </row>
    <row r="25" spans="1:1">
      <c r="A25" s="49"/>
    </row>
    <row r="26" spans="1:1">
      <c r="A26" s="49"/>
    </row>
    <row r="27" spans="1:1">
      <c r="A27" s="49"/>
    </row>
    <row r="28" spans="1:1">
      <c r="A28" s="49"/>
    </row>
    <row r="29" spans="1:1">
      <c r="A29" s="49"/>
    </row>
    <row r="30" spans="1:1">
      <c r="A30" s="49"/>
    </row>
    <row r="31" spans="1:1">
      <c r="A31" s="49"/>
    </row>
    <row r="32" spans="1:1">
      <c r="A32" s="49"/>
    </row>
    <row r="33" spans="1:1">
      <c r="A33" s="49"/>
    </row>
    <row r="34" spans="1:1">
      <c r="A34" s="49"/>
    </row>
    <row r="35" spans="1:1">
      <c r="A35" s="49"/>
    </row>
    <row r="36" spans="1:1">
      <c r="A36" s="49"/>
    </row>
    <row r="37" spans="1:1">
      <c r="A37" s="49"/>
    </row>
    <row r="38" spans="1:1">
      <c r="A38" s="49"/>
    </row>
    <row r="39" spans="1:1">
      <c r="A39" s="49"/>
    </row>
    <row r="40" spans="1:1">
      <c r="A40" s="49"/>
    </row>
    <row r="41" spans="1:1">
      <c r="A41" s="49"/>
    </row>
    <row r="42" spans="1:1">
      <c r="A42" s="49"/>
    </row>
    <row r="43" spans="1:1">
      <c r="A43" s="49"/>
    </row>
    <row r="44" spans="1:1">
      <c r="A44" s="49"/>
    </row>
    <row r="45" spans="1:1">
      <c r="A45" s="49"/>
    </row>
    <row r="46" spans="1:1">
      <c r="A46" s="49"/>
    </row>
    <row r="47" spans="1:1">
      <c r="A47" s="49"/>
    </row>
    <row r="48" spans="1:1">
      <c r="A48" s="49"/>
    </row>
    <row r="49" spans="1:1">
      <c r="A49" s="49"/>
    </row>
    <row r="50" spans="1:1">
      <c r="A50" s="49"/>
    </row>
  </sheetData>
  <mergeCells count="1">
    <mergeCell ref="A3:A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858F-6F0E-43D3-8CF7-72607D7D12BD}">
  <dimension ref="A1:M4"/>
  <sheetViews>
    <sheetView workbookViewId="0">
      <selection activeCell="A4" sqref="A4"/>
    </sheetView>
  </sheetViews>
  <sheetFormatPr defaultColWidth="8.83984375" defaultRowHeight="15.6"/>
  <cols>
    <col min="1" max="2" width="10.68359375" style="22" customWidth="1"/>
    <col min="3" max="3" width="30.578125" style="1" customWidth="1"/>
    <col min="4" max="7" width="8.83984375" style="22"/>
    <col min="8" max="8" width="8.83984375" style="23"/>
    <col min="9" max="9" width="11.578125" style="22" customWidth="1"/>
    <col min="10" max="13" width="11.578125" style="23" customWidth="1"/>
    <col min="14" max="16384" width="8.83984375" style="1"/>
  </cols>
  <sheetData>
    <row r="1" spans="1:13" s="3" customFormat="1" ht="23.1">
      <c r="A1" s="50" t="s">
        <v>3</v>
      </c>
      <c r="B1" s="51"/>
      <c r="C1" s="51"/>
      <c r="D1" s="51"/>
      <c r="E1" s="51"/>
      <c r="F1" s="51"/>
      <c r="G1" s="51"/>
      <c r="H1" s="51"/>
      <c r="I1" s="51"/>
      <c r="J1" s="51"/>
      <c r="K1" s="51"/>
      <c r="L1" s="51"/>
      <c r="M1" s="51"/>
    </row>
    <row r="2" spans="1:13" s="26" customFormat="1">
      <c r="A2" s="24" t="s">
        <v>35</v>
      </c>
      <c r="B2" s="25"/>
      <c r="C2" s="25"/>
      <c r="D2" s="25"/>
      <c r="E2" s="25"/>
      <c r="F2" s="25"/>
      <c r="G2" s="25"/>
      <c r="H2" s="25"/>
      <c r="I2" s="25"/>
      <c r="J2" s="25"/>
      <c r="K2" s="25"/>
      <c r="L2" s="25"/>
      <c r="M2" s="25"/>
    </row>
    <row r="3" spans="1:13">
      <c r="A3" s="31" t="s">
        <v>36</v>
      </c>
    </row>
    <row r="4" spans="1:13">
      <c r="A4" s="31" t="s">
        <v>11</v>
      </c>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06A3-3058-4E5E-8648-85AEA2F13214}">
  <dimension ref="A1:A2"/>
  <sheetViews>
    <sheetView topLeftCell="A9" workbookViewId="0">
      <selection activeCell="A3" sqref="A3"/>
    </sheetView>
  </sheetViews>
  <sheetFormatPr defaultColWidth="9.05078125" defaultRowHeight="14.4"/>
  <cols>
    <col min="1" max="1" width="172.7890625" style="29" customWidth="1"/>
    <col min="2" max="16384" width="9.05078125" style="28"/>
  </cols>
  <sheetData>
    <row r="1" spans="1:1" ht="23.1">
      <c r="A1" s="27" t="s">
        <v>2</v>
      </c>
    </row>
    <row r="2" spans="1:1">
      <c r="A2" s="30" t="s">
        <v>37</v>
      </c>
    </row>
  </sheetData>
  <dataValidations count="1">
    <dataValidation type="list" allowBlank="1" showInputMessage="1" showErrorMessage="1" sqref="A3" xr:uid="{BDA3E28D-9CA2-4C11-BA20-5C2D734C54D6}">
      <formula1>"Lab A Goals Met,Lab B Goals Met,Lab C Goals Met,Lab D Goals Met, Lab E Goals Met"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Post-Mortem</vt:lpstr>
      <vt:lpstr>Telemetry Data</vt:lpstr>
      <vt:lpstr>Code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Ellinger</dc:creator>
  <cp:lastModifiedBy>Gary Yang</cp:lastModifiedBy>
  <dcterms:created xsi:type="dcterms:W3CDTF">2015-06-05T18:17:20Z</dcterms:created>
  <dcterms:modified xsi:type="dcterms:W3CDTF">2026-04-18T07:15:29Z</dcterms:modified>
</cp:coreProperties>
</file>